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wney2\Documents\GitHub\In-situ-monitoring-of-powder-bed-fusion-additive-manufacturing\system_development\Damascus\V0.5.0\"/>
    </mc:Choice>
  </mc:AlternateContent>
  <xr:revisionPtr revIDLastSave="0" documentId="13_ncr:1_{C80D5577-F5C0-4911-8014-BD3A5E7B868C}" xr6:coauthVersionLast="47" xr6:coauthVersionMax="47" xr10:uidLastSave="{00000000-0000-0000-0000-000000000000}"/>
  <bookViews>
    <workbookView xWindow="-16320" yWindow="-6540" windowWidth="16440" windowHeight="283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7" i="1"/>
  <c r="F28" i="1"/>
  <c r="F30" i="1"/>
  <c r="F31" i="1"/>
  <c r="F32" i="1"/>
  <c r="F33" i="1"/>
  <c r="F34" i="1"/>
  <c r="F35" i="1"/>
  <c r="F36" i="1"/>
  <c r="F37" i="1"/>
  <c r="F38" i="1"/>
  <c r="F39" i="1"/>
  <c r="F40" i="1"/>
  <c r="F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9" i="1"/>
  <c r="F10" i="1"/>
  <c r="F11" i="1"/>
  <c r="F12" i="1"/>
  <c r="F4" i="1"/>
  <c r="F5" i="1"/>
  <c r="F6" i="1"/>
  <c r="F7" i="1"/>
  <c r="F8" i="1"/>
  <c r="F3" i="1"/>
  <c r="F43" i="1" l="1"/>
</calcChain>
</file>

<file path=xl/sharedStrings.xml><?xml version="1.0" encoding="utf-8"?>
<sst xmlns="http://schemas.openxmlformats.org/spreadsheetml/2006/main" count="148" uniqueCount="148">
  <si>
    <t>Total Cost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</si>
  <si>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</si>
  <si>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</si>
  <si>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</si>
  <si>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</si>
  <si>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</si>
  <si>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</si>
  <si>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</si>
  <si>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</si>
  <si>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</si>
  <si>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</si>
  <si>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Amount Per Cover</t>
  </si>
  <si>
    <t>Internal Part Name</t>
  </si>
  <si>
    <t>MFR / Vendor Description</t>
  </si>
  <si>
    <t>Custom order from Xometry</t>
  </si>
  <si>
    <t>JW WINCO Pull Handle: Unthreaded Holes, Plastic, Black, 1/4 in/5/16 in/M6/M8 Screw Size, 0.32 in</t>
  </si>
  <si>
    <t>handle</t>
  </si>
  <si>
    <t>https://www.grainger.com/product/Rubber-Cord-Buna-N-848F88</t>
  </si>
  <si>
    <t>https://www.grainger.com/product/JW-WINCO-Pull-Handle-Unthreaded-Holes-813RC8</t>
  </si>
  <si>
    <t>Rubber Cord: Buna-N, Round C.S. Shape, 3 mm C.S., 100 ft Overall Lg</t>
  </si>
  <si>
    <t>rubber seal</t>
  </si>
  <si>
    <t>CSBUNA-3.0-100</t>
  </si>
  <si>
    <t>Aluminum Cover</t>
  </si>
  <si>
    <t>https://www.xometry.com/</t>
  </si>
  <si>
    <t xml:space="preserve">Seal Glass Ring </t>
  </si>
  <si>
    <t>Cylinder Housing</t>
  </si>
  <si>
    <t>Camera Lid</t>
  </si>
  <si>
    <t>Cylinder Segment Inner</t>
  </si>
  <si>
    <t>Cylinder Segment Outer</t>
  </si>
  <si>
    <t>Magnet Sensors</t>
  </si>
  <si>
    <t>M6x20 Bolt</t>
  </si>
  <si>
    <t>M6 Nut</t>
  </si>
  <si>
    <t>M5x40 Bolt</t>
  </si>
  <si>
    <t>M5 ID 9.8mm OD Washer</t>
  </si>
  <si>
    <t>M4x14 Bolt</t>
  </si>
  <si>
    <t>M4 ID 8.8mm OD Washer</t>
  </si>
  <si>
    <t>M3x25 Bolt</t>
  </si>
  <si>
    <t>M3x10 Pan Head Bolt</t>
  </si>
  <si>
    <t>M3 Washer</t>
  </si>
  <si>
    <t>M3 Nuts</t>
  </si>
  <si>
    <t>PILZ PSEN 2.1-10 512110 V1.1</t>
  </si>
  <si>
    <t>USB hub</t>
  </si>
  <si>
    <t xml:space="preserve"> U360-004-IND</t>
  </si>
  <si>
    <t>Eaton Tripp Lite Series 4-Port Industrial-Grade USB 3.x (5Gbps) Hub - 20 kV ESD Immunity, Metal Housing, Mountable</t>
  </si>
  <si>
    <t>https://www.cdwg.com/product/tripp-lite-4-port-industrial-usb-3.0-superspeed-hub-15kv-esd-immunity-metal/3682489?pfm=srh</t>
  </si>
  <si>
    <t>https://www.grainger.com/product/Socket-Head-Cap-Screw-M6x1-26WC46</t>
  </si>
  <si>
    <t>Socket Head Cap Screw: M6x1.00 Thread Size, 14 mm Lg, Std, Plain, Stainless Steel, 18-8, 50 PK</t>
  </si>
  <si>
    <t>M6x14 Socket Head Screw</t>
  </si>
  <si>
    <t>M51050.060.0014</t>
  </si>
  <si>
    <t>https://www.grainger.com/product/Socket-Head-Cap-Screw-M6x1-26WC48</t>
  </si>
  <si>
    <t>Socket Head Cap Screw: M6x1.00 Thread Size, 20 mm Lg, Std, Plain, Stainless Steel, 18-8, 50 PK</t>
  </si>
  <si>
    <t>M51050.060.0020</t>
  </si>
  <si>
    <t>M6 ID 12mm OD Washer</t>
  </si>
  <si>
    <t>Flat Washer: 18-8, Stainless Steel, M6 Screw Sz, 6.62 mm In Dia, 12 mm Out Dia, 18-8, 50 PK</t>
  </si>
  <si>
    <t>M51420.060.0001</t>
  </si>
  <si>
    <t>https://www.grainger.com/product/Flat-Washer-18-8-26WC34</t>
  </si>
  <si>
    <t>M51080.060.0001</t>
  </si>
  <si>
    <t>Hex Nut: Std Hex, M6x1.00 Thread, 10 mm Hex Wd, 5 mm Hex Ht, Stainless Steel, 18-8, Plain, 50 PK</t>
  </si>
  <si>
    <t>https://www.grainger.com/product/Hex-Nut-Std-Hex-22YK33</t>
  </si>
  <si>
    <t>relays</t>
  </si>
  <si>
    <t>RELAY GEN PURPOSE SPST 6A 24V</t>
  </si>
  <si>
    <t>https://www.digikey.com/en/products/detail/phoenix-contact/2903361/4755334</t>
  </si>
  <si>
    <t>USB-C to USB-A Adapter</t>
  </si>
  <si>
    <t>Eaton Tripp Lite Series USB 3.0 Adapter Converter USB-A to USB Type C M/F USB-C - USB-C adapter - USB A to 24 pin USB-C - U329-000 - USB Adapters - CDWG.com</t>
  </si>
  <si>
    <t>U329-000</t>
  </si>
  <si>
    <t>Eaton Tripp Lite Series USB 3.0 Adapter Converter USB-A to USB Type C M/F USB-C - USB-C adapter - USB A to 24 pin USB-C</t>
  </si>
  <si>
    <t>Light</t>
  </si>
  <si>
    <t>AL143W-625IC</t>
  </si>
  <si>
    <t>2X3 SPOT LIGHT</t>
  </si>
  <si>
    <t>Eathnet hub power sully</t>
  </si>
  <si>
    <t>AC or DC DIN Rail Power Supply 1 Output 48V 1.6A</t>
  </si>
  <si>
    <t>XDR-75E-48</t>
  </si>
  <si>
    <t>https://www.digikey.com/en/products/detail/mean-well-usa-inc/XDR-75E-48/26080802</t>
  </si>
  <si>
    <t>TRENDnet TI-BG50611 6-Port Industrial 2.5G PoE++ DIN-Rail Switch with 10G Ports</t>
  </si>
  <si>
    <t>2.5G PoE++ DIN-Rail Switch</t>
  </si>
  <si>
    <t>TI-BG50611</t>
  </si>
  <si>
    <t>https://www.newegg.com/trendnet-ti-bg50611/p/0XP-001A-009D1?Item=9SIAHFEKFX4055&amp;_gl=1*1sahfwo*_gcl_au*MTgzODUzMjA1Ni4xNzgyODczNzcy*_ga*OTMxODU5NDQwLjE3ODI4NzM3NzQ.*_ga_TR46GG8HLR*czE3ODI4NzcwNzAkbzIkZzEkdDE3ODI4NzcwNzMkajU3JGwwJGgxNDc0Njg5MTYy</t>
  </si>
  <si>
    <t>CIMTEC Automation</t>
  </si>
  <si>
    <t>Used off Ebay is a good source</t>
  </si>
  <si>
    <t>switch to thunderbold patch cable</t>
  </si>
  <si>
    <t>10 GBE to Thunderbolt adapter</t>
  </si>
  <si>
    <t>OWC 1.0M (39.4") Thunderbolt 5 (USB-C) Cable Black for Thunderbolt And USB-C Devices - Black</t>
  </si>
  <si>
    <t>1M Thunderbolt cable</t>
  </si>
  <si>
    <t>OWC 2.0M (78") Thunderbolt 4 (USB-C) Cable for Thunderbolt And USB-C Devices - Black</t>
  </si>
  <si>
    <t>2M Thunderbolt cable</t>
  </si>
  <si>
    <t>OWCCBLTB4C2.0M</t>
  </si>
  <si>
    <t>OWCCBLTB5C1.0M</t>
  </si>
  <si>
    <t>OWC Thunderbolt 4 10G Ethernet Adapter</t>
  </si>
  <si>
    <t xml:space="preserve"> OWCTB4ADP10GBE</t>
  </si>
  <si>
    <t>https://www.cdwg.com/product/owc-thunderbolt-4-10g-ethernet-adapter/8482162</t>
  </si>
  <si>
    <t>https://www.cdwg.com/product/owc-1.0m-39.4-thunderbolt-5-usb-c-cable-black-for-thunderbolt-and-usb/8269345</t>
  </si>
  <si>
    <t>https://www.cdwg.com/product/owc-2.0m-78-thunderbolt-4-usb-c-cable-for-thunderbolt-and-usb-c-device/7390529</t>
  </si>
  <si>
    <t>Thermal Camera</t>
  </si>
  <si>
    <t>Optris Xi 400 thermal camera, 382 x 288, 18 deg x 14 deg lens, f = 20 mm</t>
  </si>
  <si>
    <t>OPTXI40LTF20T090</t>
  </si>
  <si>
    <t>Optional thermal-imaging configuration from paper; includes PIX Connect software/cables per vendor listing.</t>
  </si>
  <si>
    <t>https://www.tequipment.net/Optris/XI400-18x14/Scientific-Thermal-Imagers/</t>
  </si>
  <si>
    <t>https://optris.com/us/products/thermal-cameras/compact-line/xi-400/</t>
  </si>
  <si>
    <t>https://www.newark.com/optris/optxi40ltf20t090/thermal-imager-382-x-288-20mm/dp/70AJ6214</t>
  </si>
  <si>
    <t>Optical Camera - USB3</t>
  </si>
  <si>
    <t>BFS-U3-200S6M-C USB 3.1 Blackfly S monochrome camera, 20 MP, 1 in Sony IMX183, C-Mount</t>
  </si>
  <si>
    <t>BFS-U3-200S6M-C</t>
  </si>
  <si>
    <t>Primary optical camera from paper; note that camera accessories/cables may be sold separately.</t>
  </si>
  <si>
    <t>https://www.edmundoptics.com/p/BFS-U3-200S6M-C-USB3-Blackflyreg-S-Monochrome-Camera/40177/</t>
  </si>
  <si>
    <t>https://www.digikey.com/en/products/detail/flir-integrated-imaging-solutions-inc/BFS-U3-200S6M-C/16528419</t>
  </si>
  <si>
    <t>Optical Camera - GigE/PoE Alternate</t>
  </si>
  <si>
    <t>BFS-PGE-200S6M-C PoE GigE Blackfly S monochrome camera, 20 MP, 1 in Sony IMX183, C-Mount</t>
  </si>
  <si>
    <t>BFS-PGE-200S6M-C</t>
  </si>
  <si>
    <t>Optional alternate from supplied eBay link; set Amount Per Cover to 1 if selecting the PoE/GigE camera instead of USB3.</t>
  </si>
  <si>
    <t>https://www.edmundoptics.com/p/bfs-pge-200s6m-c-poe-gige-blackflyr-s-monochrome-camera/40195/</t>
  </si>
  <si>
    <t>https://www.ebay.com/itm/388858412191</t>
  </si>
  <si>
    <t>https://www.digikey.com/en/products/detail/flir-integrated-imaging-solutions-inc/BFS-PGE-200S6M-C/16528297</t>
  </si>
  <si>
    <t>35 mm Lens - 1 in Sensor</t>
  </si>
  <si>
    <t>Edmund Optics 35 mm focal length HP Series fixed focal length lens, C-Mount, f/1.8, 1.1 in max sensor format</t>
  </si>
  <si>
    <t>86-573</t>
  </si>
  <si>
    <t>Primary high-resolution optical lens for the 1 in/20 MP camera; supplied eBay 86573 listing maps to Edmund stock #86-573.</t>
  </si>
  <si>
    <t>https://www.edmundoptics.com/p/35mm-focal-length-hp-series-fixed-focal-length-lens/28992/</t>
  </si>
  <si>
    <t>https://www.ebay.com/itm/334656600752</t>
  </si>
  <si>
    <t>35 mm Lens - 2/3 in Alternate</t>
  </si>
  <si>
    <t>Edmund Optics 35 mm C Series fixed focal length lens, C-Mount, f/1.65, 2/3 in max sensor format</t>
  </si>
  <si>
    <t>59-872</t>
  </si>
  <si>
    <t>Optional older/used lens from duplicate eBay link; not counted in total unless selected. eBay sold listing showed $49.99.</t>
  </si>
  <si>
    <t>https://www.edmundoptics.com/p/35mm-c-series-fixed-focal-length-lens/16529/</t>
  </si>
  <si>
    <t>https://www.ebay.com/itm/377073297097</t>
  </si>
  <si>
    <t>Lens Step-Up Adapter</t>
  </si>
  <si>
    <t>Midwest Optical Systems Step-Up Adapter M25.5-M37</t>
  </si>
  <si>
    <t>SU25.5-37</t>
  </si>
  <si>
    <t>Use with the #59-872 C Series lens to mount M37 filters; not needed for the #86-573 HP lens with native M37 thread.</t>
  </si>
  <si>
    <t>https://machinevisiondirect.com/products/midopt-su25_5-37?variant=37662128013502</t>
  </si>
  <si>
    <t>Bandpass Filter - Dark Red 660 nm</t>
  </si>
  <si>
    <t>Midwest Optical Systems BP660-37 dark red bandpass filter, M37 x P0.75</t>
  </si>
  <si>
    <t>BP660-37</t>
  </si>
  <si>
    <t>Paper-specified dark red bandpass filter; use with 650-680 nm red lighting.</t>
  </si>
  <si>
    <t>https://machinevisiondirect.com/products/mid-bp660-37</t>
  </si>
  <si>
    <t>https://midopt.com/filters/bp660/</t>
  </si>
  <si>
    <t>Bandpass Filter - Light Red 635 nm</t>
  </si>
  <si>
    <t>Midwest Optical Systems BP635-37 light red bandpass filter, M37 x P0.75</t>
  </si>
  <si>
    <t>BP635-37</t>
  </si>
  <si>
    <t>Optional light-red filter from supplied link; set Amount Per Cover to 1 for 615-645 nm lighting.</t>
  </si>
  <si>
    <t>https://machinevisiondirect.com/products/mid-bp635-37</t>
  </si>
  <si>
    <t>https://midopt.com/filters/bp635/</t>
  </si>
  <si>
    <t>37 mm UV Protective Lens Filter</t>
  </si>
  <si>
    <t>Tiffen UV Protector Filter, 37 mm</t>
  </si>
  <si>
    <t>37UVP</t>
  </si>
  <si>
    <t>Plain protective UV filter for 37 mm lens/filter thread</t>
  </si>
  <si>
    <t>Tiffen</t>
  </si>
  <si>
    <t>https://www.cdwg.com/product/eaton-tripp-lite-series-cat6a-10g-snagless-shielded-slim-stp-ethernet-cable/7175130?pfm=srh</t>
  </si>
  <si>
    <t>Eaton Tripp Lite Series Cat6a 10G Snagless Shielded Slim STP Ethernet Cable (RJ45 M/M), PoE, Blue, 3 ft. (0.9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</si>
</sst>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11"/>
      <color rgb="FF150404"/>
      <name val="Source Sans Pro"/>
      <family val="2"/>
    </font>
    <font>
      <sz val="11"/>
      <color theme="1"/>
      <name val="Aptos Narrow"/>
    </font>
    <font>
      <sz val="11"/>
      <color theme="10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2" applyAlignment="1">
      <alignment vertical="top"/>
    </xf>
    <xf numFmtId="1" fontId="6" fillId="0" borderId="0" xfId="2" applyNumberFormat="1" applyAlignment="1">
      <alignment vertical="top"/>
    </xf>
    <xf numFmtId="165" fontId="6" fillId="0" borderId="0" xfId="2" applyNumberFormat="1" applyAlignment="1">
      <alignment vertical="top"/>
    </xf>
    <xf numFmtId="165" fontId="8" fillId="0" borderId="0" xfId="2" applyNumberFormat="1" applyFont="1" applyAlignment="1">
      <alignment horizontal="right"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ainger.com/product/Hex-Nut-Std-Hex-22YK33" TargetMode="External"/><Relationship Id="rId13" Type="http://schemas.openxmlformats.org/officeDocument/2006/relationships/hyperlink" Target="https://www.cdwg.com/product/owc-thunderbolt-4-10g-ethernet-adapter/8482162" TargetMode="External"/><Relationship Id="rId3" Type="http://schemas.openxmlformats.org/officeDocument/2006/relationships/hyperlink" Target="https://www.xometry.com/" TargetMode="External"/><Relationship Id="rId7" Type="http://schemas.openxmlformats.org/officeDocument/2006/relationships/hyperlink" Target="https://www.grainger.com/product/Flat-Washer-18-8-26WC34" TargetMode="External"/><Relationship Id="rId12" Type="http://schemas.openxmlformats.org/officeDocument/2006/relationships/hyperlink" Target="https://www.newegg.com/trendnet-ti-bg50611/p/0XP-001A-009D1?Item=9SIAHFEKFX4055&amp;_gl=1*1sahfwo*_gcl_au*MTgzODUzMjA1Ni4xNzgyODczNzcy*_ga*OTMxODU5NDQwLjE3ODI4NzM3NzQ.*_ga_TR46GG8HLR*czE3ODI4NzcwNzAkbzIkZzEkdDE3ODI4NzcwNzMkajU3JGwwJGgxNDc0Njg5MTYy" TargetMode="External"/><Relationship Id="rId2" Type="http://schemas.openxmlformats.org/officeDocument/2006/relationships/hyperlink" Target="https://www.grainger.com/product/JW-WINCO-Pull-Handle-Unthreaded-Holes-813RC8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grainger.com/product/Rubber-Cord-Buna-N-848F88" TargetMode="External"/><Relationship Id="rId6" Type="http://schemas.openxmlformats.org/officeDocument/2006/relationships/hyperlink" Target="https://www.grainger.com/product/Socket-Head-Cap-Screw-M6x1-26WC48" TargetMode="External"/><Relationship Id="rId11" Type="http://schemas.openxmlformats.org/officeDocument/2006/relationships/hyperlink" Target="https://www.digikey.com/en/products/detail/mean-well-usa-inc/XDR-75E-48/26080802" TargetMode="External"/><Relationship Id="rId5" Type="http://schemas.openxmlformats.org/officeDocument/2006/relationships/hyperlink" Target="https://www.grainger.com/product/Socket-Head-Cap-Screw-M6x1-26WC46" TargetMode="External"/><Relationship Id="rId15" Type="http://schemas.openxmlformats.org/officeDocument/2006/relationships/hyperlink" Target="https://www.cdwg.com/product/owc-2.0m-78-thunderbolt-4-usb-c-cable-for-thunderbolt-and-usb-c-device/7390529" TargetMode="External"/><Relationship Id="rId10" Type="http://schemas.openxmlformats.org/officeDocument/2006/relationships/hyperlink" Target="https://www.cdwg.com/product/tripp-lite-usb-3.0-adapter-converter-usb-a-to-usb-type-c-m-f-usb-c/5238658?pfm=srh" TargetMode="External"/><Relationship Id="rId4" Type="http://schemas.openxmlformats.org/officeDocument/2006/relationships/hyperlink" Target="https://www.cdwg.com/product/tripp-lite-4-port-industrial-usb-3.0-superspeed-hub-15kv-esd-immunity-metal/3682489?pfm=srh" TargetMode="External"/><Relationship Id="rId9" Type="http://schemas.openxmlformats.org/officeDocument/2006/relationships/hyperlink" Target="https://www.digikey.com/en/products/detail/phoenix-contact/2903361/4755334" TargetMode="External"/><Relationship Id="rId14" Type="http://schemas.openxmlformats.org/officeDocument/2006/relationships/hyperlink" Target="https://www.cdwg.com/product/owc-1.0m-39.4-thunderbolt-5-usb-c-cable-black-for-thunderbolt-and-usb/8269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43"/>
  <sheetViews>
    <sheetView tabSelected="1" topLeftCell="C1" zoomScale="85" zoomScaleNormal="85" workbookViewId="0">
      <selection activeCell="H47" sqref="H47"/>
    </sheetView>
  </sheetViews>
  <sheetFormatPr defaultColWidth="8.85546875" defaultRowHeight="15" x14ac:dyDescent="0.25"/>
  <cols>
    <col min="1" max="1" width="20.140625" bestFit="1" customWidth="1"/>
    <col min="2" max="2" width="33.140625" bestFit="1" customWidth="1"/>
    <col min="3" max="3" width="16.42578125" bestFit="1" customWidth="1"/>
    <col min="4" max="4" width="15.85546875" bestFit="1" customWidth="1"/>
    <col min="5" max="5" width="13.5703125" bestFit="1" customWidth="1"/>
    <col min="6" max="6" width="13.42578125" customWidth="1"/>
    <col min="7" max="7" width="13" customWidth="1"/>
    <col min="8" max="8" width="79" bestFit="1" customWidth="1"/>
    <col min="9" max="9" width="45.5703125" bestFit="1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ht="15" customHeight="1" x14ac:dyDescent="0.25">
      <c r="A1" s="6" t="s">
        <v>12</v>
      </c>
      <c r="B1" s="6" t="s">
        <v>13</v>
      </c>
      <c r="C1" s="6" t="s">
        <v>10</v>
      </c>
      <c r="D1" s="6" t="s">
        <v>11</v>
      </c>
      <c r="E1" s="6" t="s">
        <v>1</v>
      </c>
      <c r="F1" s="6" t="s">
        <v>0</v>
      </c>
      <c r="G1" s="6" t="s">
        <v>9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</row>
    <row r="2" spans="1:13" ht="15" customHeight="1" x14ac:dyDescent="0.25">
      <c r="A2" t="s">
        <v>22</v>
      </c>
      <c r="B2" s="2"/>
      <c r="C2" s="2"/>
      <c r="D2" s="2">
        <v>1</v>
      </c>
      <c r="E2" s="9">
        <v>800</v>
      </c>
      <c r="F2" s="9">
        <f>D2*E2</f>
        <v>800</v>
      </c>
      <c r="G2" s="5" t="s">
        <v>14</v>
      </c>
      <c r="H2" s="1" t="s">
        <v>23</v>
      </c>
      <c r="J2" s="2"/>
    </row>
    <row r="3" spans="1:13" ht="15" customHeight="1" x14ac:dyDescent="0.25">
      <c r="A3" s="10" t="s">
        <v>16</v>
      </c>
      <c r="B3" s="2" t="s">
        <v>15</v>
      </c>
      <c r="C3" s="2">
        <v>6333220</v>
      </c>
      <c r="D3" s="2">
        <v>2</v>
      </c>
      <c r="E3" s="9">
        <v>12.7</v>
      </c>
      <c r="F3" s="9">
        <f>D3*E3</f>
        <v>25.4</v>
      </c>
      <c r="G3" s="5"/>
      <c r="H3" s="1" t="s">
        <v>18</v>
      </c>
      <c r="I3" s="4"/>
    </row>
    <row r="4" spans="1:13" ht="15" customHeight="1" x14ac:dyDescent="0.25">
      <c r="A4" s="10" t="s">
        <v>20</v>
      </c>
      <c r="B4" s="2" t="s">
        <v>19</v>
      </c>
      <c r="C4" s="2" t="s">
        <v>21</v>
      </c>
      <c r="D4" s="2">
        <v>1</v>
      </c>
      <c r="E4" s="9">
        <v>73.290000000000006</v>
      </c>
      <c r="F4" s="9">
        <f t="shared" ref="F4" si="0">D4*E4</f>
        <v>73.290000000000006</v>
      </c>
      <c r="G4" s="5"/>
      <c r="H4" s="1" t="s">
        <v>17</v>
      </c>
    </row>
    <row r="5" spans="1:13" ht="15" customHeight="1" x14ac:dyDescent="0.25">
      <c r="A5" s="10" t="s">
        <v>24</v>
      </c>
      <c r="B5" s="2"/>
      <c r="C5" s="2"/>
      <c r="D5" s="2"/>
      <c r="E5" s="9"/>
      <c r="F5" s="9">
        <f t="shared" ref="F5:F40" si="1">D5*E5</f>
        <v>0</v>
      </c>
      <c r="G5" s="5"/>
      <c r="H5" s="1"/>
      <c r="I5" s="1"/>
    </row>
    <row r="6" spans="1:13" ht="15" customHeight="1" x14ac:dyDescent="0.25">
      <c r="A6" s="10" t="s">
        <v>25</v>
      </c>
      <c r="B6" s="2"/>
      <c r="C6" s="2"/>
      <c r="D6" s="2"/>
      <c r="E6" s="9"/>
      <c r="F6" s="9">
        <f t="shared" si="1"/>
        <v>0</v>
      </c>
      <c r="G6" s="5"/>
      <c r="H6" s="1"/>
      <c r="I6" s="4"/>
    </row>
    <row r="7" spans="1:13" ht="15" customHeight="1" x14ac:dyDescent="0.25">
      <c r="A7" s="10" t="s">
        <v>26</v>
      </c>
      <c r="B7" s="2"/>
      <c r="C7" s="2"/>
      <c r="D7" s="2"/>
      <c r="E7" s="9"/>
      <c r="F7" s="9">
        <f t="shared" si="1"/>
        <v>0</v>
      </c>
      <c r="G7" s="5"/>
      <c r="H7" s="1"/>
      <c r="I7" s="4"/>
      <c r="J7" s="3"/>
      <c r="K7" s="3"/>
    </row>
    <row r="8" spans="1:13" ht="15" customHeight="1" x14ac:dyDescent="0.25">
      <c r="A8" s="10" t="s">
        <v>27</v>
      </c>
      <c r="B8" s="2"/>
      <c r="C8" s="2"/>
      <c r="D8" s="2"/>
      <c r="E8" s="9"/>
      <c r="F8" s="9">
        <f t="shared" si="1"/>
        <v>0</v>
      </c>
      <c r="G8" s="5"/>
      <c r="H8" s="1"/>
      <c r="I8" s="4"/>
    </row>
    <row r="9" spans="1:13" ht="15" customHeight="1" x14ac:dyDescent="0.25">
      <c r="A9" s="10" t="s">
        <v>28</v>
      </c>
      <c r="B9" s="2"/>
      <c r="C9" s="2"/>
      <c r="D9" s="2"/>
      <c r="E9" s="9"/>
      <c r="F9" s="9">
        <f t="shared" si="1"/>
        <v>0</v>
      </c>
      <c r="G9" s="5"/>
      <c r="H9" s="1"/>
    </row>
    <row r="10" spans="1:13" ht="15" customHeight="1" x14ac:dyDescent="0.25">
      <c r="A10" s="10" t="s">
        <v>29</v>
      </c>
      <c r="B10" s="2" t="s">
        <v>40</v>
      </c>
      <c r="C10" s="2"/>
      <c r="D10" s="2"/>
      <c r="E10" s="9"/>
      <c r="F10" s="9">
        <f t="shared" si="1"/>
        <v>0</v>
      </c>
      <c r="G10" s="5"/>
      <c r="H10" s="1"/>
      <c r="L10" s="4"/>
      <c r="M10" s="4"/>
    </row>
    <row r="11" spans="1:13" ht="15" customHeight="1" x14ac:dyDescent="0.25">
      <c r="A11" s="10" t="s">
        <v>47</v>
      </c>
      <c r="B11" s="2" t="s">
        <v>46</v>
      </c>
      <c r="C11" s="2" t="s">
        <v>48</v>
      </c>
      <c r="D11" s="2">
        <v>1</v>
      </c>
      <c r="E11" s="9">
        <v>4.7</v>
      </c>
      <c r="F11" s="9">
        <f t="shared" si="1"/>
        <v>4.7</v>
      </c>
      <c r="G11" s="5"/>
      <c r="H11" s="1" t="s">
        <v>45</v>
      </c>
      <c r="I11" s="3"/>
    </row>
    <row r="12" spans="1:13" ht="15" customHeight="1" x14ac:dyDescent="0.25">
      <c r="A12" s="10" t="s">
        <v>30</v>
      </c>
      <c r="B12" s="2" t="s">
        <v>50</v>
      </c>
      <c r="C12" s="2" t="s">
        <v>51</v>
      </c>
      <c r="D12" s="2">
        <v>1</v>
      </c>
      <c r="E12" s="9">
        <v>7.58</v>
      </c>
      <c r="F12" s="9">
        <f t="shared" si="1"/>
        <v>7.58</v>
      </c>
      <c r="G12" s="5"/>
      <c r="H12" s="1" t="s">
        <v>49</v>
      </c>
      <c r="I12" s="4"/>
    </row>
    <row r="13" spans="1:13" ht="15" customHeight="1" x14ac:dyDescent="0.25">
      <c r="A13" s="10" t="s">
        <v>52</v>
      </c>
      <c r="B13" s="2" t="s">
        <v>53</v>
      </c>
      <c r="C13" s="2" t="s">
        <v>54</v>
      </c>
      <c r="D13" s="2">
        <v>1</v>
      </c>
      <c r="E13" s="9">
        <v>1.54</v>
      </c>
      <c r="F13" s="9">
        <f t="shared" si="1"/>
        <v>1.54</v>
      </c>
      <c r="G13" s="5"/>
      <c r="H13" s="1" t="s">
        <v>55</v>
      </c>
      <c r="I13" s="4"/>
    </row>
    <row r="14" spans="1:13" ht="15" customHeight="1" x14ac:dyDescent="0.25">
      <c r="A14" s="10" t="s">
        <v>31</v>
      </c>
      <c r="B14" s="2" t="s">
        <v>57</v>
      </c>
      <c r="C14" s="2" t="s">
        <v>56</v>
      </c>
      <c r="D14" s="2">
        <v>1</v>
      </c>
      <c r="E14" s="9">
        <v>2.95</v>
      </c>
      <c r="F14" s="9">
        <f t="shared" si="1"/>
        <v>2.95</v>
      </c>
      <c r="G14" s="5"/>
      <c r="H14" s="1" t="s">
        <v>58</v>
      </c>
      <c r="I14" s="4"/>
    </row>
    <row r="15" spans="1:13" ht="15" customHeight="1" x14ac:dyDescent="0.25">
      <c r="A15" s="10" t="s">
        <v>32</v>
      </c>
      <c r="B15" s="2"/>
      <c r="C15" s="2"/>
      <c r="D15" s="2"/>
      <c r="E15" s="9"/>
      <c r="F15" s="9">
        <f t="shared" si="1"/>
        <v>0</v>
      </c>
      <c r="G15" s="5"/>
      <c r="H15" s="1"/>
      <c r="I15" s="4"/>
    </row>
    <row r="16" spans="1:13" ht="15" customHeight="1" x14ac:dyDescent="0.25">
      <c r="A16" s="10" t="s">
        <v>33</v>
      </c>
      <c r="B16" s="2"/>
      <c r="C16" s="2"/>
      <c r="D16" s="2"/>
      <c r="E16" s="9"/>
      <c r="F16" s="9">
        <f t="shared" si="1"/>
        <v>0</v>
      </c>
      <c r="G16" s="5"/>
      <c r="H16" s="1"/>
      <c r="I16" s="4"/>
    </row>
    <row r="17" spans="1:9" ht="15" customHeight="1" x14ac:dyDescent="0.25">
      <c r="A17" s="10" t="s">
        <v>34</v>
      </c>
      <c r="B17" s="2"/>
      <c r="C17" s="2"/>
      <c r="D17" s="2"/>
      <c r="E17" s="9"/>
      <c r="F17" s="9">
        <f t="shared" si="1"/>
        <v>0</v>
      </c>
      <c r="G17" s="5"/>
      <c r="H17" s="1"/>
      <c r="I17" s="4"/>
    </row>
    <row r="18" spans="1:9" ht="15" customHeight="1" x14ac:dyDescent="0.25">
      <c r="A18" s="10" t="s">
        <v>35</v>
      </c>
      <c r="B18" s="2"/>
      <c r="C18" s="2"/>
      <c r="D18" s="2"/>
      <c r="E18" s="9"/>
      <c r="F18" s="9">
        <f t="shared" si="1"/>
        <v>0</v>
      </c>
      <c r="G18" s="5"/>
      <c r="H18" s="1"/>
      <c r="I18" s="4"/>
    </row>
    <row r="19" spans="1:9" ht="15" customHeight="1" x14ac:dyDescent="0.25">
      <c r="A19" s="10" t="s">
        <v>36</v>
      </c>
      <c r="B19" s="2"/>
      <c r="C19" s="2"/>
      <c r="D19" s="2"/>
      <c r="E19" s="9"/>
      <c r="F19" s="9">
        <f t="shared" si="1"/>
        <v>0</v>
      </c>
      <c r="G19" s="5"/>
      <c r="H19" s="1"/>
      <c r="I19" s="4"/>
    </row>
    <row r="20" spans="1:9" ht="15" customHeight="1" x14ac:dyDescent="0.25">
      <c r="A20" s="10" t="s">
        <v>37</v>
      </c>
      <c r="B20" s="2"/>
      <c r="C20" s="2"/>
      <c r="D20" s="2"/>
      <c r="E20" s="9"/>
      <c r="F20" s="9">
        <f t="shared" si="1"/>
        <v>0</v>
      </c>
      <c r="G20" s="5"/>
      <c r="H20" s="1"/>
      <c r="I20" s="4"/>
    </row>
    <row r="21" spans="1:9" ht="15" customHeight="1" x14ac:dyDescent="0.25">
      <c r="A21" s="10" t="s">
        <v>38</v>
      </c>
      <c r="B21" s="2"/>
      <c r="C21" s="2"/>
      <c r="D21" s="2"/>
      <c r="E21" s="9"/>
      <c r="F21" s="9">
        <f t="shared" si="1"/>
        <v>0</v>
      </c>
      <c r="G21" s="5"/>
      <c r="H21" s="1"/>
      <c r="I21" s="4"/>
    </row>
    <row r="22" spans="1:9" ht="15" customHeight="1" x14ac:dyDescent="0.25">
      <c r="A22" s="10" t="s">
        <v>39</v>
      </c>
      <c r="B22" s="2"/>
      <c r="C22" s="2"/>
      <c r="D22" s="2"/>
      <c r="E22" s="8"/>
      <c r="F22" s="9">
        <f t="shared" si="1"/>
        <v>0</v>
      </c>
      <c r="G22" s="5"/>
      <c r="H22" s="3"/>
      <c r="I22" s="4"/>
    </row>
    <row r="23" spans="1:9" ht="15" customHeight="1" x14ac:dyDescent="0.25">
      <c r="A23" s="2" t="s">
        <v>41</v>
      </c>
      <c r="B23" s="2" t="s">
        <v>43</v>
      </c>
      <c r="C23" s="12" t="s">
        <v>42</v>
      </c>
      <c r="D23" s="2">
        <v>1</v>
      </c>
      <c r="E23" s="9">
        <v>110</v>
      </c>
      <c r="F23" s="9">
        <f t="shared" si="1"/>
        <v>110</v>
      </c>
      <c r="G23" s="5"/>
      <c r="H23" s="3" t="s">
        <v>44</v>
      </c>
      <c r="I23" s="4"/>
    </row>
    <row r="24" spans="1:9" ht="15" customHeight="1" x14ac:dyDescent="0.25">
      <c r="A24" s="2" t="s">
        <v>59</v>
      </c>
      <c r="B24" s="2" t="s">
        <v>60</v>
      </c>
      <c r="C24" s="2">
        <v>2903361</v>
      </c>
      <c r="D24" s="2">
        <v>2</v>
      </c>
      <c r="E24" s="9">
        <v>9.4600000000000009</v>
      </c>
      <c r="F24" s="9">
        <f t="shared" si="1"/>
        <v>18.920000000000002</v>
      </c>
      <c r="G24" s="5"/>
      <c r="H24" s="3" t="s">
        <v>61</v>
      </c>
      <c r="I24" s="4"/>
    </row>
    <row r="25" spans="1:9" ht="15" customHeight="1" x14ac:dyDescent="0.25">
      <c r="A25" s="2" t="s">
        <v>62</v>
      </c>
      <c r="B25" s="2" t="s">
        <v>65</v>
      </c>
      <c r="C25" s="2" t="s">
        <v>64</v>
      </c>
      <c r="D25" s="2">
        <v>1</v>
      </c>
      <c r="E25" s="9">
        <v>13.96</v>
      </c>
      <c r="F25" s="9">
        <f t="shared" si="1"/>
        <v>13.96</v>
      </c>
      <c r="G25" s="2"/>
      <c r="H25" s="1" t="s">
        <v>63</v>
      </c>
      <c r="I25" s="4"/>
    </row>
    <row r="26" spans="1:9" ht="15" customHeight="1" x14ac:dyDescent="0.25">
      <c r="A26" s="2" t="s">
        <v>66</v>
      </c>
      <c r="B26" s="2" t="s">
        <v>68</v>
      </c>
      <c r="C26" s="2" t="s">
        <v>67</v>
      </c>
      <c r="D26" s="2">
        <v>2</v>
      </c>
      <c r="E26" s="9">
        <v>695.33</v>
      </c>
      <c r="F26" s="9">
        <f t="shared" si="1"/>
        <v>1390.66</v>
      </c>
      <c r="G26" s="2" t="s">
        <v>78</v>
      </c>
      <c r="H26" t="s">
        <v>77</v>
      </c>
      <c r="I26" s="2"/>
    </row>
    <row r="27" spans="1:9" ht="15" customHeight="1" x14ac:dyDescent="0.25">
      <c r="A27" s="2" t="s">
        <v>69</v>
      </c>
      <c r="B27" s="2" t="s">
        <v>70</v>
      </c>
      <c r="C27" s="11" t="s">
        <v>71</v>
      </c>
      <c r="D27" s="2">
        <v>1</v>
      </c>
      <c r="E27" s="9">
        <v>23</v>
      </c>
      <c r="F27" s="9">
        <f t="shared" si="1"/>
        <v>23</v>
      </c>
      <c r="G27" s="2"/>
      <c r="H27" s="1" t="s">
        <v>72</v>
      </c>
    </row>
    <row r="28" spans="1:9" ht="15" customHeight="1" x14ac:dyDescent="0.25">
      <c r="A28" s="2" t="s">
        <v>74</v>
      </c>
      <c r="B28" s="2" t="s">
        <v>73</v>
      </c>
      <c r="C28" s="2" t="s">
        <v>75</v>
      </c>
      <c r="D28" s="2">
        <v>1</v>
      </c>
      <c r="E28" s="8">
        <v>329</v>
      </c>
      <c r="F28" s="9">
        <f t="shared" si="1"/>
        <v>329</v>
      </c>
      <c r="H28" s="1" t="s">
        <v>76</v>
      </c>
    </row>
    <row r="29" spans="1:9" ht="15" customHeight="1" x14ac:dyDescent="0.25">
      <c r="A29" s="2" t="s">
        <v>79</v>
      </c>
      <c r="B29" s="2" t="s">
        <v>147</v>
      </c>
      <c r="C29" s="13">
        <v>7175130</v>
      </c>
      <c r="D29" s="2">
        <v>1</v>
      </c>
      <c r="E29" s="9">
        <v>8.4700000000000006</v>
      </c>
      <c r="F29" s="9">
        <f t="shared" si="1"/>
        <v>8.4700000000000006</v>
      </c>
      <c r="H29" s="1" t="s">
        <v>146</v>
      </c>
    </row>
    <row r="30" spans="1:9" ht="15" customHeight="1" x14ac:dyDescent="0.25">
      <c r="A30" s="2" t="s">
        <v>80</v>
      </c>
      <c r="B30" s="2" t="s">
        <v>87</v>
      </c>
      <c r="C30" s="2" t="s">
        <v>88</v>
      </c>
      <c r="D30" s="2">
        <v>1</v>
      </c>
      <c r="E30" s="9">
        <v>181.53</v>
      </c>
      <c r="F30" s="9">
        <f t="shared" si="1"/>
        <v>181.53</v>
      </c>
      <c r="H30" s="1" t="s">
        <v>89</v>
      </c>
    </row>
    <row r="31" spans="1:9" ht="15" customHeight="1" x14ac:dyDescent="0.25">
      <c r="A31" s="2" t="s">
        <v>84</v>
      </c>
      <c r="B31" s="2" t="s">
        <v>83</v>
      </c>
      <c r="C31" t="s">
        <v>85</v>
      </c>
      <c r="D31" s="2">
        <v>1</v>
      </c>
      <c r="E31" s="9">
        <v>49.29</v>
      </c>
      <c r="F31" s="9">
        <f t="shared" si="1"/>
        <v>49.29</v>
      </c>
      <c r="H31" s="1" t="s">
        <v>91</v>
      </c>
    </row>
    <row r="32" spans="1:9" x14ac:dyDescent="0.25">
      <c r="A32" s="2" t="s">
        <v>82</v>
      </c>
      <c r="B32" s="2" t="s">
        <v>81</v>
      </c>
      <c r="C32" t="s">
        <v>86</v>
      </c>
      <c r="D32" s="2">
        <v>1</v>
      </c>
      <c r="E32" s="9">
        <v>30.51</v>
      </c>
      <c r="F32" s="9">
        <f t="shared" si="1"/>
        <v>30.51</v>
      </c>
      <c r="H32" s="1" t="s">
        <v>90</v>
      </c>
    </row>
    <row r="33" spans="1:10" ht="15" customHeight="1" x14ac:dyDescent="0.25">
      <c r="A33" s="14" t="s">
        <v>92</v>
      </c>
      <c r="B33" s="14" t="s">
        <v>93</v>
      </c>
      <c r="C33" s="14" t="s">
        <v>94</v>
      </c>
      <c r="D33" s="15">
        <v>1</v>
      </c>
      <c r="E33" s="16">
        <v>2995</v>
      </c>
      <c r="F33" s="9">
        <f t="shared" si="1"/>
        <v>2995</v>
      </c>
      <c r="G33" s="14" t="s">
        <v>95</v>
      </c>
      <c r="H33" s="14" t="s">
        <v>96</v>
      </c>
      <c r="I33" s="14" t="s">
        <v>97</v>
      </c>
      <c r="J33" s="14" t="s">
        <v>98</v>
      </c>
    </row>
    <row r="34" spans="1:10" ht="15" customHeight="1" x14ac:dyDescent="0.25">
      <c r="A34" s="14" t="s">
        <v>99</v>
      </c>
      <c r="B34" s="14" t="s">
        <v>100</v>
      </c>
      <c r="C34" s="14" t="s">
        <v>101</v>
      </c>
      <c r="D34" s="15">
        <v>1</v>
      </c>
      <c r="E34" s="16">
        <v>700</v>
      </c>
      <c r="F34" s="9">
        <f t="shared" si="1"/>
        <v>700</v>
      </c>
      <c r="G34" s="14" t="s">
        <v>102</v>
      </c>
      <c r="H34" s="14" t="s">
        <v>103</v>
      </c>
      <c r="I34" s="14" t="s">
        <v>104</v>
      </c>
      <c r="J34" s="14"/>
    </row>
    <row r="35" spans="1:10" ht="15" customHeight="1" x14ac:dyDescent="0.25">
      <c r="A35" s="14" t="s">
        <v>105</v>
      </c>
      <c r="B35" s="14" t="s">
        <v>106</v>
      </c>
      <c r="C35" s="14" t="s">
        <v>107</v>
      </c>
      <c r="D35" s="15">
        <v>1</v>
      </c>
      <c r="E35" s="16">
        <v>700</v>
      </c>
      <c r="F35" s="9">
        <f t="shared" si="1"/>
        <v>700</v>
      </c>
      <c r="G35" s="14" t="s">
        <v>108</v>
      </c>
      <c r="H35" s="14" t="s">
        <v>109</v>
      </c>
      <c r="I35" s="14" t="s">
        <v>110</v>
      </c>
      <c r="J35" s="14" t="s">
        <v>111</v>
      </c>
    </row>
    <row r="36" spans="1:10" ht="15" customHeight="1" x14ac:dyDescent="0.25">
      <c r="A36" s="14" t="s">
        <v>112</v>
      </c>
      <c r="B36" s="14" t="s">
        <v>113</v>
      </c>
      <c r="C36" s="14" t="s">
        <v>114</v>
      </c>
      <c r="D36" s="15">
        <v>1</v>
      </c>
      <c r="E36" s="16">
        <v>660</v>
      </c>
      <c r="F36" s="9">
        <f t="shared" si="1"/>
        <v>660</v>
      </c>
      <c r="G36" s="14" t="s">
        <v>115</v>
      </c>
      <c r="H36" s="14" t="s">
        <v>116</v>
      </c>
      <c r="I36" s="14" t="s">
        <v>117</v>
      </c>
      <c r="J36" s="14"/>
    </row>
    <row r="37" spans="1:10" ht="15" customHeight="1" x14ac:dyDescent="0.25">
      <c r="A37" s="14" t="s">
        <v>118</v>
      </c>
      <c r="B37" s="14" t="s">
        <v>119</v>
      </c>
      <c r="C37" s="14" t="s">
        <v>120</v>
      </c>
      <c r="D37" s="15">
        <v>1</v>
      </c>
      <c r="E37" s="17">
        <v>374</v>
      </c>
      <c r="F37" s="9">
        <f t="shared" si="1"/>
        <v>374</v>
      </c>
      <c r="G37" s="14" t="s">
        <v>121</v>
      </c>
      <c r="H37" s="14" t="s">
        <v>122</v>
      </c>
      <c r="I37" s="14" t="s">
        <v>123</v>
      </c>
      <c r="J37" s="14"/>
    </row>
    <row r="38" spans="1:10" ht="15" customHeight="1" x14ac:dyDescent="0.25">
      <c r="A38" s="14" t="s">
        <v>124</v>
      </c>
      <c r="B38" s="14" t="s">
        <v>125</v>
      </c>
      <c r="C38" s="14" t="s">
        <v>126</v>
      </c>
      <c r="D38" s="15">
        <v>1</v>
      </c>
      <c r="E38" s="16">
        <v>30</v>
      </c>
      <c r="F38" s="9">
        <f t="shared" si="1"/>
        <v>30</v>
      </c>
      <c r="G38" s="14" t="s">
        <v>127</v>
      </c>
      <c r="H38" s="14" t="s">
        <v>128</v>
      </c>
      <c r="I38" s="14"/>
      <c r="J38" s="14"/>
    </row>
    <row r="39" spans="1:10" ht="15" customHeight="1" x14ac:dyDescent="0.25">
      <c r="A39" s="14" t="s">
        <v>129</v>
      </c>
      <c r="B39" s="14" t="s">
        <v>130</v>
      </c>
      <c r="C39" s="14" t="s">
        <v>131</v>
      </c>
      <c r="D39" s="15">
        <v>1</v>
      </c>
      <c r="E39" s="16">
        <v>151</v>
      </c>
      <c r="F39" s="9">
        <f t="shared" si="1"/>
        <v>151</v>
      </c>
      <c r="G39" s="14" t="s">
        <v>132</v>
      </c>
      <c r="H39" s="14" t="s">
        <v>133</v>
      </c>
      <c r="I39" s="14" t="s">
        <v>134</v>
      </c>
      <c r="J39" s="14"/>
    </row>
    <row r="40" spans="1:10" ht="15" customHeight="1" x14ac:dyDescent="0.25">
      <c r="A40" s="14" t="s">
        <v>135</v>
      </c>
      <c r="B40" s="14" t="s">
        <v>136</v>
      </c>
      <c r="C40" s="14" t="s">
        <v>137</v>
      </c>
      <c r="D40" s="15">
        <v>1</v>
      </c>
      <c r="E40" s="16">
        <v>151</v>
      </c>
      <c r="F40" s="9">
        <f t="shared" si="1"/>
        <v>151</v>
      </c>
      <c r="G40" s="14" t="s">
        <v>138</v>
      </c>
      <c r="H40" s="14" t="s">
        <v>139</v>
      </c>
      <c r="I40" s="14" t="s">
        <v>140</v>
      </c>
      <c r="J40" s="14"/>
    </row>
    <row r="41" spans="1:10" ht="15" customHeight="1" x14ac:dyDescent="0.25">
      <c r="A41" s="4" t="s">
        <v>141</v>
      </c>
      <c r="B41" s="4" t="s">
        <v>142</v>
      </c>
      <c r="C41" s="18" t="s">
        <v>143</v>
      </c>
      <c r="D41" s="18">
        <v>1</v>
      </c>
      <c r="E41" s="19">
        <v>9.99</v>
      </c>
      <c r="F41" s="19">
        <v>9.99</v>
      </c>
      <c r="G41" s="4" t="s">
        <v>144</v>
      </c>
      <c r="H41" s="4" t="s">
        <v>145</v>
      </c>
    </row>
    <row r="42" spans="1:10" x14ac:dyDescent="0.25">
      <c r="E42" s="8"/>
      <c r="F42" s="8"/>
    </row>
    <row r="43" spans="1:10" x14ac:dyDescent="0.25">
      <c r="E43" s="7" t="s">
        <v>8</v>
      </c>
      <c r="F43" s="5">
        <f>SUM(F2:F42)</f>
        <v>8841.7899999999991</v>
      </c>
    </row>
  </sheetData>
  <phoneticPr fontId="3" type="noConversion"/>
  <hyperlinks>
    <hyperlink ref="H4" r:id="rId1" xr:uid="{CADA28BD-E75E-40BF-91F5-ECEC4DFDD175}"/>
    <hyperlink ref="H3" r:id="rId2" xr:uid="{0EDC0A57-8E4C-4D3A-8F84-8D905F46C8DF}"/>
    <hyperlink ref="H2" r:id="rId3" xr:uid="{1ECF2406-B0D1-41D2-AB7D-AB233330FD61}"/>
    <hyperlink ref="H23" r:id="rId4" xr:uid="{09C07DD3-BEB0-4324-912F-D9BB7285A77D}"/>
    <hyperlink ref="H11" r:id="rId5" xr:uid="{626FADE7-D6F2-4623-B41F-525D88835216}"/>
    <hyperlink ref="H12" r:id="rId6" xr:uid="{E1235693-0AE4-483A-80C1-C4EB98C7CCE2}"/>
    <hyperlink ref="H13" r:id="rId7" xr:uid="{DFE47E21-CC99-4786-9546-33196C5907C2}"/>
    <hyperlink ref="H14" r:id="rId8" xr:uid="{B0FFF7C7-7C5F-48BF-B374-ADD953FC535F}"/>
    <hyperlink ref="H24" r:id="rId9" xr:uid="{758FB3AE-1CB5-4064-94B5-5BCA666DF382}"/>
    <hyperlink ref="H25" r:id="rId10" display="https://www.cdwg.com/product/tripp-lite-usb-3.0-adapter-converter-usb-a-to-usb-type-c-m-f-usb-c/5238658?pfm=srh" xr:uid="{3D280BFA-933C-4B78-9942-E3BEECE50362}"/>
    <hyperlink ref="H27" r:id="rId11" xr:uid="{69858AD3-97BB-4924-83ED-505EBD3B921C}"/>
    <hyperlink ref="H28" r:id="rId12" xr:uid="{E7CDAEAF-246E-429F-942C-8F1434B33468}"/>
    <hyperlink ref="H30" r:id="rId13" xr:uid="{801BAFE3-F6D0-4BC5-8B21-256CC97C2787}"/>
    <hyperlink ref="H32" r:id="rId14" xr:uid="{48EA4B1F-CBAD-4590-9666-2342E248E6D7}"/>
    <hyperlink ref="H31" r:id="rId15" xr:uid="{009BE108-4464-476B-A6EC-083EA45298AB}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2026-07-21T03:15:33Z</dcterms:modified>
</cp:coreProperties>
</file>