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ADHAMI\Downloads\"/>
    </mc:Choice>
  </mc:AlternateContent>
  <xr:revisionPtr revIDLastSave="0" documentId="13_ncr:1_{1EBDC71B-E63C-492B-8EF1-060CEB0CE0E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2" sheetId="2" r:id="rId1"/>
    <sheet name="Sheet1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2" l="1"/>
  <c r="D6" i="2" s="1"/>
  <c r="D7" i="2" s="1"/>
  <c r="D8" i="2" s="1"/>
  <c r="D9" i="2" s="1"/>
  <c r="D10" i="2" s="1"/>
  <c r="D11" i="2" s="1"/>
  <c r="D12" i="2" s="1"/>
  <c r="D13" i="2" s="1"/>
  <c r="B5" i="2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A31" i="1"/>
  <c r="A32" i="1" s="1"/>
  <c r="A33" i="1" s="1"/>
  <c r="A34" i="1" s="1"/>
  <c r="A35" i="1" s="1"/>
  <c r="A36" i="1" s="1"/>
  <c r="A37" i="1" s="1"/>
  <c r="A38" i="1" s="1"/>
  <c r="A39" i="1" s="1"/>
  <c r="A19" i="1"/>
  <c r="A20" i="1" s="1"/>
  <c r="A21" i="1" s="1"/>
  <c r="A22" i="1" s="1"/>
  <c r="A23" i="1" s="1"/>
  <c r="A24" i="1" s="1"/>
  <c r="A25" i="1" s="1"/>
  <c r="A26" i="1" s="1"/>
  <c r="A27" i="1" s="1"/>
</calcChain>
</file>

<file path=xl/sharedStrings.xml><?xml version="1.0" encoding="utf-8"?>
<sst xmlns="http://schemas.openxmlformats.org/spreadsheetml/2006/main" count="150" uniqueCount="39">
  <si>
    <t>Date</t>
  </si>
  <si>
    <t>test</t>
  </si>
  <si>
    <t>3_13_2026</t>
  </si>
  <si>
    <t>Defocus (150 microns)</t>
  </si>
  <si>
    <t>speed (mm/s)</t>
  </si>
  <si>
    <t>power (W)</t>
  </si>
  <si>
    <t>Weld Successful? (Left, Right)</t>
  </si>
  <si>
    <t>Nickel Strip Fail? (Left, Right)</t>
  </si>
  <si>
    <t>Weld Fail? (Left, Right)</t>
  </si>
  <si>
    <t>Weld Successful?</t>
  </si>
  <si>
    <t>Yes</t>
  </si>
  <si>
    <t>No</t>
  </si>
  <si>
    <t>N/A</t>
  </si>
  <si>
    <t>weld fail</t>
  </si>
  <si>
    <t>what failed?</t>
  </si>
  <si>
    <t>weld fail? (Left, Right)</t>
  </si>
  <si>
    <t>yes</t>
  </si>
  <si>
    <t>Test</t>
  </si>
  <si>
    <t>Nickel Strip</t>
  </si>
  <si>
    <t>Weld Failed During Printing</t>
  </si>
  <si>
    <t>Weld Fail</t>
  </si>
  <si>
    <t>Both</t>
  </si>
  <si>
    <t xml:space="preserve"> </t>
  </si>
  <si>
    <t>Lowpass cutoff</t>
  </si>
  <si>
    <t>Refractory period</t>
  </si>
  <si>
    <t>Pos. Event Bias</t>
  </si>
  <si>
    <t>Neg. Event Bias</t>
  </si>
  <si>
    <t>LASER</t>
  </si>
  <si>
    <t>EVENT CAMERA</t>
  </si>
  <si>
    <t>Filter(s)</t>
  </si>
  <si>
    <t>UV</t>
  </si>
  <si>
    <t>No low pass cut off and refractory</t>
  </si>
  <si>
    <t>Notes</t>
  </si>
  <si>
    <t>None</t>
  </si>
  <si>
    <t>Defocus</t>
  </si>
  <si>
    <t>150 micron defocus</t>
  </si>
  <si>
    <t>red 635</t>
  </si>
  <si>
    <t>red 635 + UV</t>
  </si>
  <si>
    <t>400 micron defocus, still "no image"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</si>
</sst>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\-mm\-dd;@"/>
  </numFmts>
  <fonts count="6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wrapText="1"/>
    </xf>
    <xf numFmtId="0" fontId="5" fillId="0" borderId="0" xfId="0" applyFont="1"/>
    <xf numFmtId="166" fontId="1" fillId="0" borderId="0" xfId="0" applyNumberFormat="1" applyFont="1" applyAlignment="1">
      <alignment horizontal="center" wrapText="1"/>
    </xf>
    <xf numFmtId="0" fontId="0" fillId="0" borderId="0" xfId="0" applyAlignment="1">
      <alignment wrapText="1"/>
    </xf>
    <xf numFmtId="166" fontId="0" fillId="0" borderId="0" xfId="0" applyNumberFormat="1" applyAlignment="1">
      <alignment wrapText="1"/>
    </xf>
    <xf numFmtId="0" fontId="4" fillId="0" borderId="0" xfId="0" applyFont="1" applyAlignment="1">
      <alignment horizontal="center" vertical="center" wrapText="1"/>
    </xf>
    <xf numFmtId="0" fontId="3" fillId="0" borderId="4" xfId="0" applyFont="1" applyBorder="1" applyAlignment="1">
      <alignment horizontal="center" wrapText="1"/>
    </xf>
    <xf numFmtId="0" fontId="3" fillId="0" borderId="0" xfId="0" applyFont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0" fontId="3" fillId="0" borderId="2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0" fontId="4" fillId="0" borderId="0" xfId="0" applyFont="1" applyAlignment="1">
      <alignment horizontal="center" wrapText="1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6" formatCode="yyyy\-mm\-dd;@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870E6A-1628-4B15-B791-04B0D0E7C0CE}" name="Table1" displayName="Table1" ref="B3:N34" totalsRowShown="0" headerRowDxfId="13" dataDxfId="14">
  <autoFilter ref="B3:N34" xr:uid="{32870E6A-1628-4B15-B791-04B0D0E7C0CE}"/>
  <tableColumns count="13">
    <tableColumn id="1" xr3:uid="{EF9C8B83-DF18-4080-80FA-82B3ABAB5E82}" name="test" dataDxfId="12"/>
    <tableColumn id="2" xr3:uid="{0B6F9DE2-0A0C-4916-BC37-A368355A29D4}" name="Defocus" dataDxfId="11"/>
    <tableColumn id="3" xr3:uid="{75F40E48-3315-464F-9103-345D1E137AD1}" name="speed (mm/s)" dataDxfId="10"/>
    <tableColumn id="4" xr3:uid="{C5BE10F3-E0CB-494D-A99B-1FCAE10DDEE8}" name="power (W)" dataDxfId="9"/>
    <tableColumn id="5" xr3:uid="{BEFA169A-F2D7-447D-94E0-3A3BB015F8ED}" name="Weld Successful?" dataDxfId="8"/>
    <tableColumn id="6" xr3:uid="{E22ED819-843B-4368-8C3B-4E21E2772832}" name="what failed?" dataDxfId="7"/>
    <tableColumn id="7" xr3:uid="{B5FB582D-1725-47B1-A87A-C87E03549490}" name="Pos. Event Bias" dataDxfId="6"/>
    <tableColumn id="8" xr3:uid="{922B5C25-640A-4FB3-A5FB-872D23C8EC23}" name="Neg. Event Bias" dataDxfId="5"/>
    <tableColumn id="9" xr3:uid="{D912AF29-C532-4037-96BB-C0416EF2CCD0}" name="Lowpass cutoff" dataDxfId="4"/>
    <tableColumn id="10" xr3:uid="{68A9942F-2A28-4FA8-8A1B-199500017F71}" name="Refractory period" dataDxfId="3"/>
    <tableColumn id="13" xr3:uid="{A2BFB634-CC58-4EC7-983D-AAEB69634358}" name="Filter(s)" dataDxfId="1"/>
    <tableColumn id="11" xr3:uid="{21967A52-F1CF-480D-80C7-50D94918CB5F}" name="Date" dataDxfId="2"/>
    <tableColumn id="14" xr3:uid="{BFC75E56-B6B4-41F2-AE7D-3A1C76D4E4F8}" name="Notes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AB1000"/>
  <sheetViews>
    <sheetView tabSelected="1" zoomScale="93" workbookViewId="0">
      <selection activeCell="N19" sqref="N19"/>
    </sheetView>
  </sheetViews>
  <sheetFormatPr defaultColWidth="12.6640625" defaultRowHeight="15.75" customHeight="1" x14ac:dyDescent="0.25"/>
  <cols>
    <col min="1" max="1" width="2.44140625" customWidth="1"/>
    <col min="2" max="2" width="5.88671875" style="16" customWidth="1"/>
    <col min="3" max="3" width="13.44140625" style="18" customWidth="1"/>
    <col min="4" max="4" width="9.77734375" style="18" customWidth="1"/>
    <col min="5" max="5" width="9.21875" style="18" customWidth="1"/>
    <col min="6" max="6" width="16.21875" style="18" customWidth="1"/>
    <col min="7" max="7" width="16.5546875" style="18" customWidth="1"/>
    <col min="8" max="8" width="12.77734375" style="18" customWidth="1"/>
    <col min="9" max="9" width="12.5546875" style="18" customWidth="1"/>
    <col min="10" max="10" width="13.33203125" style="18" customWidth="1"/>
    <col min="11" max="12" width="14" style="18" customWidth="1"/>
    <col min="13" max="13" width="12.21875" style="19" customWidth="1"/>
    <col min="14" max="14" width="31.6640625" customWidth="1"/>
  </cols>
  <sheetData>
    <row r="1" spans="2:28" ht="13.2" x14ac:dyDescent="0.25">
      <c r="B1" s="13"/>
      <c r="C1" s="3"/>
      <c r="D1" s="3"/>
      <c r="E1" s="3"/>
      <c r="F1" s="3"/>
      <c r="G1" s="3"/>
      <c r="H1" s="3"/>
      <c r="I1" s="3"/>
      <c r="J1" s="3"/>
      <c r="K1" s="3"/>
      <c r="L1" s="3"/>
      <c r="M1" s="17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2:28" ht="13.2" x14ac:dyDescent="0.25">
      <c r="B2" s="13"/>
      <c r="C2" s="23" t="s">
        <v>27</v>
      </c>
      <c r="D2" s="24"/>
      <c r="E2" s="24"/>
      <c r="F2" s="25"/>
      <c r="G2" s="3"/>
      <c r="H2" s="21" t="s">
        <v>28</v>
      </c>
      <c r="I2" s="22"/>
      <c r="J2" s="22"/>
      <c r="K2" s="22"/>
      <c r="L2" s="22"/>
      <c r="M2" s="17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2:28" ht="26.4" x14ac:dyDescent="0.25">
      <c r="B3" s="14" t="s">
        <v>1</v>
      </c>
      <c r="C3" s="20" t="s">
        <v>34</v>
      </c>
      <c r="D3" s="2" t="s">
        <v>4</v>
      </c>
      <c r="E3" s="2" t="s">
        <v>5</v>
      </c>
      <c r="F3" s="2" t="s">
        <v>9</v>
      </c>
      <c r="G3" s="2" t="s">
        <v>14</v>
      </c>
      <c r="H3" s="20" t="s">
        <v>25</v>
      </c>
      <c r="I3" s="20" t="s">
        <v>26</v>
      </c>
      <c r="J3" s="2" t="s">
        <v>23</v>
      </c>
      <c r="K3" s="2" t="s">
        <v>24</v>
      </c>
      <c r="L3" s="20" t="s">
        <v>29</v>
      </c>
      <c r="M3" s="2" t="s">
        <v>0</v>
      </c>
      <c r="N3" s="20" t="s">
        <v>32</v>
      </c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</row>
    <row r="4" spans="2:28" ht="13.2" x14ac:dyDescent="0.25">
      <c r="B4" s="15">
        <v>1</v>
      </c>
      <c r="C4" s="2">
        <v>5.8730000000000002</v>
      </c>
      <c r="D4" s="3">
        <v>45</v>
      </c>
      <c r="E4" s="3">
        <v>300</v>
      </c>
      <c r="F4" s="3" t="s">
        <v>10</v>
      </c>
      <c r="G4" s="3"/>
      <c r="H4" s="3">
        <v>0</v>
      </c>
      <c r="I4" s="3">
        <v>0</v>
      </c>
      <c r="J4" s="3"/>
      <c r="K4" s="3"/>
      <c r="L4" s="3"/>
      <c r="M4" s="17"/>
      <c r="N4" s="27" t="s">
        <v>35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2:28" ht="13.2" x14ac:dyDescent="0.25">
      <c r="B5" s="13">
        <f t="shared" ref="B5:B34" si="0">SUM(B4 + 1)</f>
        <v>2</v>
      </c>
      <c r="C5" s="2">
        <v>5.8730000000000002</v>
      </c>
      <c r="D5" s="3">
        <f t="shared" ref="D5:D13" si="1">SUM(D4 + 15)</f>
        <v>60</v>
      </c>
      <c r="E5" s="3">
        <v>300</v>
      </c>
      <c r="F5" s="3" t="s">
        <v>10</v>
      </c>
      <c r="G5" s="3"/>
      <c r="H5" s="3">
        <v>5</v>
      </c>
      <c r="I5" s="3">
        <v>5</v>
      </c>
      <c r="J5" s="3"/>
      <c r="K5" s="3"/>
      <c r="L5" s="3"/>
      <c r="M5" s="17"/>
      <c r="N5" s="27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2:28" ht="13.2" x14ac:dyDescent="0.25">
      <c r="B6" s="13">
        <f t="shared" si="0"/>
        <v>3</v>
      </c>
      <c r="C6" s="2">
        <v>5.8730000000000002</v>
      </c>
      <c r="D6" s="3">
        <f t="shared" si="1"/>
        <v>75</v>
      </c>
      <c r="E6" s="3">
        <v>300</v>
      </c>
      <c r="F6" s="3" t="s">
        <v>10</v>
      </c>
      <c r="G6" s="3"/>
      <c r="H6" s="3">
        <v>5</v>
      </c>
      <c r="I6" s="3">
        <v>5</v>
      </c>
      <c r="J6" s="3"/>
      <c r="K6" s="3"/>
      <c r="L6" s="3"/>
      <c r="M6" s="17"/>
      <c r="N6" s="27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2:28" ht="13.2" x14ac:dyDescent="0.25">
      <c r="B7" s="13">
        <f t="shared" si="0"/>
        <v>4</v>
      </c>
      <c r="C7" s="2">
        <v>5.8730000000000002</v>
      </c>
      <c r="D7" s="3">
        <f t="shared" si="1"/>
        <v>90</v>
      </c>
      <c r="E7" s="3">
        <v>300</v>
      </c>
      <c r="F7" s="3" t="s">
        <v>10</v>
      </c>
      <c r="G7" s="3"/>
      <c r="H7" s="3">
        <v>10</v>
      </c>
      <c r="I7" s="3">
        <v>10</v>
      </c>
      <c r="J7" s="3"/>
      <c r="K7" s="3"/>
      <c r="L7" s="3"/>
      <c r="M7" s="17"/>
      <c r="N7" s="27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2:28" ht="13.2" x14ac:dyDescent="0.25">
      <c r="B8" s="13">
        <f t="shared" si="0"/>
        <v>5</v>
      </c>
      <c r="C8" s="2">
        <v>5.8730000000000002</v>
      </c>
      <c r="D8" s="3">
        <f t="shared" si="1"/>
        <v>105</v>
      </c>
      <c r="E8" s="3">
        <v>300</v>
      </c>
      <c r="F8" s="3" t="s">
        <v>11</v>
      </c>
      <c r="G8" s="3"/>
      <c r="H8" s="3">
        <v>15</v>
      </c>
      <c r="I8" s="3">
        <v>15</v>
      </c>
      <c r="J8" s="3"/>
      <c r="K8" s="3"/>
      <c r="L8" s="3"/>
      <c r="M8" s="17"/>
      <c r="N8" s="27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2:28" ht="13.2" x14ac:dyDescent="0.25">
      <c r="B9" s="13">
        <f t="shared" si="0"/>
        <v>6</v>
      </c>
      <c r="C9" s="2">
        <v>5.8730000000000002</v>
      </c>
      <c r="D9" s="3">
        <f t="shared" si="1"/>
        <v>120</v>
      </c>
      <c r="E9" s="3">
        <v>300</v>
      </c>
      <c r="F9" s="3" t="s">
        <v>11</v>
      </c>
      <c r="G9" s="3"/>
      <c r="H9" s="3">
        <v>2</v>
      </c>
      <c r="I9" s="3">
        <v>2</v>
      </c>
      <c r="J9" s="3"/>
      <c r="K9" s="3"/>
      <c r="L9" s="3"/>
      <c r="M9" s="17"/>
      <c r="N9" s="27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2:28" ht="13.2" x14ac:dyDescent="0.25">
      <c r="B10" s="13">
        <f t="shared" si="0"/>
        <v>7</v>
      </c>
      <c r="C10" s="2">
        <v>5.8730000000000002</v>
      </c>
      <c r="D10" s="3">
        <f t="shared" si="1"/>
        <v>135</v>
      </c>
      <c r="E10" s="3">
        <v>300</v>
      </c>
      <c r="F10" s="3" t="s">
        <v>11</v>
      </c>
      <c r="G10" s="3"/>
      <c r="H10" s="3">
        <v>0</v>
      </c>
      <c r="I10" s="3">
        <v>0</v>
      </c>
      <c r="J10" s="3"/>
      <c r="K10" s="3"/>
      <c r="L10" s="3"/>
      <c r="M10" s="17"/>
      <c r="N10" s="27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2:28" ht="13.2" x14ac:dyDescent="0.25">
      <c r="B11" s="13">
        <f t="shared" si="0"/>
        <v>8</v>
      </c>
      <c r="C11" s="2">
        <v>5.8730000000000002</v>
      </c>
      <c r="D11" s="3">
        <f t="shared" si="1"/>
        <v>150</v>
      </c>
      <c r="E11" s="3">
        <v>300</v>
      </c>
      <c r="F11" s="3" t="s">
        <v>11</v>
      </c>
      <c r="G11" s="3"/>
      <c r="H11" s="3">
        <v>5</v>
      </c>
      <c r="I11" s="3">
        <v>5</v>
      </c>
      <c r="J11" s="3"/>
      <c r="K11" s="3" t="s">
        <v>22</v>
      </c>
      <c r="L11" s="3"/>
      <c r="M11" s="17"/>
      <c r="N11" s="27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2:28" ht="13.2" x14ac:dyDescent="0.25">
      <c r="B12" s="13">
        <f t="shared" si="0"/>
        <v>9</v>
      </c>
      <c r="C12" s="2">
        <v>5.8730000000000002</v>
      </c>
      <c r="D12" s="3">
        <f t="shared" si="1"/>
        <v>165</v>
      </c>
      <c r="E12" s="3">
        <v>300</v>
      </c>
      <c r="F12" s="3" t="s">
        <v>10</v>
      </c>
      <c r="G12" s="3"/>
      <c r="H12" s="3">
        <v>5</v>
      </c>
      <c r="I12" s="3">
        <v>5</v>
      </c>
      <c r="J12" s="3"/>
      <c r="K12" s="3"/>
      <c r="L12" s="3"/>
      <c r="M12" s="17"/>
      <c r="N12" s="27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2:28" ht="13.2" x14ac:dyDescent="0.25">
      <c r="B13" s="13">
        <f t="shared" si="0"/>
        <v>10</v>
      </c>
      <c r="C13" s="2">
        <v>5.8730000000000002</v>
      </c>
      <c r="D13" s="3">
        <f t="shared" si="1"/>
        <v>180</v>
      </c>
      <c r="E13" s="3">
        <v>300</v>
      </c>
      <c r="F13" s="3" t="s">
        <v>11</v>
      </c>
      <c r="G13" s="3"/>
      <c r="H13" s="3">
        <v>5</v>
      </c>
      <c r="I13" s="3">
        <v>5</v>
      </c>
      <c r="J13" s="3">
        <v>20</v>
      </c>
      <c r="K13" s="3">
        <v>-20</v>
      </c>
      <c r="L13" s="3"/>
      <c r="M13" s="17"/>
      <c r="N13" s="27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2:28" ht="13.2" x14ac:dyDescent="0.25">
      <c r="B14" s="13">
        <f t="shared" si="0"/>
        <v>11</v>
      </c>
      <c r="C14" s="2">
        <v>5.8730000000000002</v>
      </c>
      <c r="D14" s="3">
        <v>75</v>
      </c>
      <c r="E14" s="3">
        <v>300</v>
      </c>
      <c r="F14" s="3"/>
      <c r="G14" s="3"/>
      <c r="H14" s="3">
        <v>0</v>
      </c>
      <c r="I14" s="3">
        <v>0</v>
      </c>
      <c r="J14" s="3"/>
      <c r="K14" s="3"/>
      <c r="L14" s="26" t="s">
        <v>30</v>
      </c>
      <c r="M14" s="17">
        <v>46262</v>
      </c>
      <c r="N14" s="27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2:28" ht="13.2" x14ac:dyDescent="0.25">
      <c r="B15" s="13">
        <f t="shared" si="0"/>
        <v>12</v>
      </c>
      <c r="C15" s="2">
        <v>5.8730000000000002</v>
      </c>
      <c r="D15" s="3">
        <v>75</v>
      </c>
      <c r="E15" s="3">
        <v>300</v>
      </c>
      <c r="F15" s="3"/>
      <c r="G15" s="3"/>
      <c r="H15" s="3">
        <v>0</v>
      </c>
      <c r="I15" s="3">
        <v>0</v>
      </c>
      <c r="J15" s="3"/>
      <c r="K15" s="3"/>
      <c r="L15" s="26" t="s">
        <v>30</v>
      </c>
      <c r="M15" s="17">
        <v>46262</v>
      </c>
      <c r="N15" s="27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2:28" ht="13.2" x14ac:dyDescent="0.25">
      <c r="B16" s="13">
        <f t="shared" si="0"/>
        <v>13</v>
      </c>
      <c r="C16" s="2">
        <v>5.8730000000000002</v>
      </c>
      <c r="D16" s="3">
        <v>75</v>
      </c>
      <c r="E16" s="3">
        <v>300</v>
      </c>
      <c r="F16" s="3"/>
      <c r="G16" s="3"/>
      <c r="H16" s="3">
        <v>1</v>
      </c>
      <c r="I16" s="3">
        <v>1</v>
      </c>
      <c r="J16" s="26" t="s">
        <v>33</v>
      </c>
      <c r="K16" s="26" t="s">
        <v>33</v>
      </c>
      <c r="L16" s="26" t="s">
        <v>30</v>
      </c>
      <c r="M16" s="17">
        <v>46262</v>
      </c>
      <c r="N16" s="27" t="s">
        <v>31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2:28" ht="13.2" x14ac:dyDescent="0.25">
      <c r="B17" s="13">
        <f t="shared" si="0"/>
        <v>14</v>
      </c>
      <c r="C17" s="2">
        <v>5.8730000000000002</v>
      </c>
      <c r="D17" s="3">
        <v>75</v>
      </c>
      <c r="E17" s="3">
        <v>300</v>
      </c>
      <c r="F17" s="3"/>
      <c r="G17" s="3"/>
      <c r="H17" s="3">
        <v>5</v>
      </c>
      <c r="I17" s="3">
        <v>5</v>
      </c>
      <c r="J17" s="26" t="s">
        <v>33</v>
      </c>
      <c r="K17" s="26" t="s">
        <v>33</v>
      </c>
      <c r="L17" s="26" t="s">
        <v>30</v>
      </c>
      <c r="M17" s="17">
        <v>46262</v>
      </c>
      <c r="N17" s="27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2:28" ht="13.2" x14ac:dyDescent="0.25">
      <c r="B18" s="13">
        <f t="shared" si="0"/>
        <v>15</v>
      </c>
      <c r="C18" s="2">
        <v>5.8730000000000002</v>
      </c>
      <c r="D18" s="3">
        <v>75</v>
      </c>
      <c r="E18" s="3">
        <v>300</v>
      </c>
      <c r="F18" s="3"/>
      <c r="G18" s="3"/>
      <c r="H18" s="3">
        <v>3</v>
      </c>
      <c r="I18" s="3">
        <v>3</v>
      </c>
      <c r="J18" s="3"/>
      <c r="K18" s="3"/>
      <c r="L18" s="3"/>
      <c r="M18" s="17">
        <v>46262</v>
      </c>
      <c r="N18" s="27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2:28" ht="13.2" x14ac:dyDescent="0.25">
      <c r="B19" s="13">
        <f t="shared" si="0"/>
        <v>16</v>
      </c>
      <c r="C19" s="2">
        <v>5.8730000000000002</v>
      </c>
      <c r="D19" s="3">
        <v>75</v>
      </c>
      <c r="E19" s="3">
        <v>300</v>
      </c>
      <c r="F19" s="3"/>
      <c r="G19" s="3"/>
      <c r="H19" s="3">
        <v>2</v>
      </c>
      <c r="I19" s="3">
        <v>2</v>
      </c>
      <c r="J19" s="3"/>
      <c r="K19" s="3"/>
      <c r="L19" s="26" t="s">
        <v>22</v>
      </c>
      <c r="M19" s="17">
        <v>46262</v>
      </c>
      <c r="N19" s="27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2:28" ht="13.2" x14ac:dyDescent="0.25">
      <c r="B20" s="13">
        <f t="shared" si="0"/>
        <v>17</v>
      </c>
      <c r="C20" s="2">
        <v>5.8730000000000002</v>
      </c>
      <c r="D20" s="3">
        <v>75</v>
      </c>
      <c r="E20" s="3">
        <v>300</v>
      </c>
      <c r="F20" s="3"/>
      <c r="G20" s="3"/>
      <c r="H20" s="3">
        <v>0</v>
      </c>
      <c r="I20" s="3">
        <v>0</v>
      </c>
      <c r="J20" s="3"/>
      <c r="K20" s="3"/>
      <c r="L20" s="26" t="s">
        <v>36</v>
      </c>
      <c r="M20" s="17">
        <v>46262</v>
      </c>
      <c r="N20" s="27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2:28" ht="13.2" x14ac:dyDescent="0.25">
      <c r="B21" s="13">
        <f t="shared" si="0"/>
        <v>18</v>
      </c>
      <c r="C21" s="3">
        <v>13.179</v>
      </c>
      <c r="D21" s="3">
        <v>75</v>
      </c>
      <c r="E21" s="3">
        <v>300</v>
      </c>
      <c r="F21" s="3"/>
      <c r="G21" s="3"/>
      <c r="H21" s="3">
        <v>0</v>
      </c>
      <c r="I21" s="3">
        <v>0</v>
      </c>
      <c r="J21" s="3"/>
      <c r="K21" s="3"/>
      <c r="L21" s="26" t="s">
        <v>37</v>
      </c>
      <c r="M21" s="17">
        <v>46262</v>
      </c>
      <c r="N21" s="27" t="s">
        <v>38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2:28" ht="13.2" x14ac:dyDescent="0.25">
      <c r="B22" s="13">
        <f t="shared" si="0"/>
        <v>19</v>
      </c>
      <c r="C22" s="3">
        <v>13.179</v>
      </c>
      <c r="D22" s="3"/>
      <c r="E22" s="3"/>
      <c r="F22" s="3"/>
      <c r="G22" s="3"/>
      <c r="H22" s="3"/>
      <c r="I22" s="3"/>
      <c r="J22" s="3"/>
      <c r="K22" s="3"/>
      <c r="L22" s="3"/>
      <c r="M22" s="17"/>
      <c r="N22" s="27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2:28" ht="13.2" x14ac:dyDescent="0.25">
      <c r="B23" s="13">
        <f t="shared" si="0"/>
        <v>20</v>
      </c>
      <c r="C23" s="3">
        <v>13.179</v>
      </c>
      <c r="D23" s="3"/>
      <c r="E23" s="3"/>
      <c r="F23" s="3"/>
      <c r="G23" s="3"/>
      <c r="H23" s="3"/>
      <c r="I23" s="3"/>
      <c r="J23" s="3"/>
      <c r="K23" s="3"/>
      <c r="L23" s="3"/>
      <c r="M23" s="17"/>
      <c r="N23" s="27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2:28" ht="13.2" x14ac:dyDescent="0.25">
      <c r="B24" s="13">
        <f t="shared" si="0"/>
        <v>21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17"/>
      <c r="N24" s="27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2:28" ht="13.2" x14ac:dyDescent="0.25">
      <c r="B25" s="13">
        <f t="shared" si="0"/>
        <v>22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17"/>
      <c r="N25" s="27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2:28" ht="13.2" x14ac:dyDescent="0.25">
      <c r="B26" s="13">
        <f t="shared" si="0"/>
        <v>23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17"/>
      <c r="N26" s="27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2:28" ht="13.2" x14ac:dyDescent="0.25">
      <c r="B27" s="13">
        <f t="shared" si="0"/>
        <v>24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17"/>
      <c r="N27" s="27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2:28" ht="13.2" x14ac:dyDescent="0.25">
      <c r="B28" s="13">
        <f t="shared" si="0"/>
        <v>25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17"/>
      <c r="N28" s="27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2:28" ht="13.2" x14ac:dyDescent="0.25">
      <c r="B29" s="13">
        <f t="shared" si="0"/>
        <v>26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17"/>
      <c r="N29" s="27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2:28" ht="13.2" x14ac:dyDescent="0.25">
      <c r="B30" s="13">
        <f t="shared" si="0"/>
        <v>27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17"/>
      <c r="N30" s="27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2:28" ht="13.2" x14ac:dyDescent="0.25">
      <c r="B31" s="13">
        <f t="shared" si="0"/>
        <v>28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17"/>
      <c r="N31" s="27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2:28" ht="13.2" x14ac:dyDescent="0.25">
      <c r="B32" s="13">
        <f t="shared" si="0"/>
        <v>29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17"/>
      <c r="N32" s="27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2:28" ht="13.2" x14ac:dyDescent="0.25">
      <c r="B33" s="13">
        <f t="shared" si="0"/>
        <v>30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17"/>
      <c r="N33" s="27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2:28" ht="13.2" x14ac:dyDescent="0.25">
      <c r="B34" s="13">
        <f t="shared" si="0"/>
        <v>31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17"/>
      <c r="N34" s="27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2:28" ht="13.2" x14ac:dyDescent="0.25">
      <c r="B35" s="13"/>
      <c r="C35" s="3"/>
      <c r="D35" s="3"/>
      <c r="E35" s="3"/>
      <c r="F35" s="3"/>
      <c r="G35" s="3"/>
      <c r="H35" s="3"/>
      <c r="I35" s="3"/>
      <c r="J35" s="3"/>
      <c r="K35" s="3"/>
      <c r="L35" s="3"/>
      <c r="M35" s="17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2:28" ht="13.2" x14ac:dyDescent="0.25">
      <c r="B36" s="13"/>
      <c r="C36" s="3"/>
      <c r="D36" s="3"/>
      <c r="E36" s="3"/>
      <c r="F36" s="3"/>
      <c r="G36" s="3"/>
      <c r="H36" s="3"/>
      <c r="I36" s="3"/>
      <c r="J36" s="3"/>
      <c r="K36" s="3"/>
      <c r="L36" s="3"/>
      <c r="M36" s="17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2:28" ht="13.2" x14ac:dyDescent="0.25">
      <c r="B37" s="13"/>
      <c r="C37" s="3"/>
      <c r="D37" s="3"/>
      <c r="E37" s="3"/>
      <c r="F37" s="3"/>
      <c r="G37" s="3"/>
      <c r="H37" s="3"/>
      <c r="I37" s="3"/>
      <c r="J37" s="3"/>
      <c r="K37" s="3"/>
      <c r="L37" s="3"/>
      <c r="M37" s="17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2:28" ht="13.2" x14ac:dyDescent="0.25">
      <c r="B38" s="13"/>
      <c r="C38" s="3"/>
      <c r="D38" s="3"/>
      <c r="E38" s="3"/>
      <c r="F38" s="3"/>
      <c r="G38" s="3"/>
      <c r="H38" s="3"/>
      <c r="I38" s="3"/>
      <c r="J38" s="3"/>
      <c r="K38" s="3"/>
      <c r="L38" s="3"/>
      <c r="M38" s="17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2:28" ht="13.2" x14ac:dyDescent="0.25">
      <c r="B39" s="13"/>
      <c r="C39" s="3"/>
      <c r="D39" s="3"/>
      <c r="E39" s="3"/>
      <c r="F39" s="3"/>
      <c r="G39" s="3"/>
      <c r="H39" s="3"/>
      <c r="I39" s="3"/>
      <c r="J39" s="3"/>
      <c r="K39" s="3"/>
      <c r="L39" s="3"/>
      <c r="M39" s="17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2:28" ht="13.2" x14ac:dyDescent="0.25">
      <c r="B40" s="13"/>
      <c r="C40" s="3"/>
      <c r="D40" s="3"/>
      <c r="E40" s="3"/>
      <c r="F40" s="3"/>
      <c r="G40" s="3"/>
      <c r="H40" s="3"/>
      <c r="I40" s="3"/>
      <c r="J40" s="3"/>
      <c r="K40" s="3"/>
      <c r="L40" s="3"/>
      <c r="M40" s="17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2:28" ht="13.2" x14ac:dyDescent="0.25">
      <c r="B41" s="13"/>
      <c r="C41" s="3"/>
      <c r="D41" s="3"/>
      <c r="E41" s="3"/>
      <c r="F41" s="3"/>
      <c r="G41" s="3"/>
      <c r="H41" s="3"/>
      <c r="I41" s="3"/>
      <c r="J41" s="3"/>
      <c r="K41" s="3"/>
      <c r="L41" s="3"/>
      <c r="M41" s="17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2:28" ht="13.2" x14ac:dyDescent="0.25">
      <c r="B42" s="13"/>
      <c r="C42" s="3"/>
      <c r="D42" s="3"/>
      <c r="E42" s="3"/>
      <c r="F42" s="3"/>
      <c r="G42" s="3"/>
      <c r="H42" s="3"/>
      <c r="I42" s="3"/>
      <c r="J42" s="3"/>
      <c r="K42" s="3"/>
      <c r="L42" s="3"/>
      <c r="M42" s="17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2:28" ht="13.2" x14ac:dyDescent="0.25">
      <c r="B43" s="13"/>
      <c r="C43" s="3"/>
      <c r="D43" s="3"/>
      <c r="E43" s="3"/>
      <c r="F43" s="3"/>
      <c r="G43" s="3"/>
      <c r="H43" s="3"/>
      <c r="I43" s="3"/>
      <c r="J43" s="3"/>
      <c r="K43" s="3"/>
      <c r="L43" s="3"/>
      <c r="M43" s="17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2:28" ht="13.2" x14ac:dyDescent="0.25">
      <c r="B44" s="13"/>
      <c r="C44" s="3"/>
      <c r="D44" s="3"/>
      <c r="E44" s="3"/>
      <c r="F44" s="3"/>
      <c r="G44" s="3"/>
      <c r="H44" s="3"/>
      <c r="I44" s="3"/>
      <c r="J44" s="3"/>
      <c r="K44" s="3"/>
      <c r="L44" s="3"/>
      <c r="M44" s="17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2:28" ht="13.2" x14ac:dyDescent="0.25">
      <c r="B45" s="13"/>
      <c r="C45" s="3"/>
      <c r="D45" s="3"/>
      <c r="E45" s="3"/>
      <c r="F45" s="3"/>
      <c r="G45" s="3"/>
      <c r="H45" s="3"/>
      <c r="I45" s="3"/>
      <c r="J45" s="3"/>
      <c r="K45" s="3"/>
      <c r="L45" s="3"/>
      <c r="M45" s="17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2:28" ht="13.2" x14ac:dyDescent="0.25">
      <c r="B46" s="13"/>
      <c r="C46" s="3"/>
      <c r="D46" s="3"/>
      <c r="E46" s="3"/>
      <c r="F46" s="3"/>
      <c r="G46" s="3"/>
      <c r="H46" s="3"/>
      <c r="I46" s="3"/>
      <c r="J46" s="3"/>
      <c r="K46" s="3"/>
      <c r="L46" s="3"/>
      <c r="M46" s="17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2:28" ht="13.2" x14ac:dyDescent="0.25">
      <c r="B47" s="13"/>
      <c r="C47" s="3"/>
      <c r="D47" s="3"/>
      <c r="E47" s="3"/>
      <c r="F47" s="3"/>
      <c r="G47" s="3"/>
      <c r="H47" s="3"/>
      <c r="I47" s="3"/>
      <c r="J47" s="3"/>
      <c r="K47" s="3"/>
      <c r="L47" s="3"/>
      <c r="M47" s="17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2:28" ht="13.2" x14ac:dyDescent="0.25">
      <c r="B48" s="13"/>
      <c r="C48" s="3"/>
      <c r="D48" s="3"/>
      <c r="E48" s="3"/>
      <c r="F48" s="3"/>
      <c r="G48" s="3"/>
      <c r="H48" s="3"/>
      <c r="I48" s="3"/>
      <c r="J48" s="3"/>
      <c r="K48" s="3"/>
      <c r="L48" s="3"/>
      <c r="M48" s="17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2:28" ht="13.2" x14ac:dyDescent="0.25">
      <c r="B49" s="13"/>
      <c r="C49" s="3"/>
      <c r="D49" s="3"/>
      <c r="E49" s="3"/>
      <c r="F49" s="3"/>
      <c r="G49" s="3"/>
      <c r="H49" s="3"/>
      <c r="I49" s="3"/>
      <c r="J49" s="3"/>
      <c r="K49" s="3"/>
      <c r="L49" s="3"/>
      <c r="M49" s="17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2:28" ht="13.2" x14ac:dyDescent="0.25">
      <c r="B50" s="13"/>
      <c r="C50" s="3"/>
      <c r="D50" s="3"/>
      <c r="E50" s="3"/>
      <c r="F50" s="3"/>
      <c r="G50" s="3"/>
      <c r="H50" s="3"/>
      <c r="I50" s="3"/>
      <c r="J50" s="3"/>
      <c r="K50" s="3"/>
      <c r="L50" s="3"/>
      <c r="M50" s="17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2:28" ht="13.2" x14ac:dyDescent="0.25">
      <c r="B51" s="13"/>
      <c r="C51" s="3"/>
      <c r="D51" s="3"/>
      <c r="E51" s="3"/>
      <c r="F51" s="3"/>
      <c r="G51" s="3"/>
      <c r="H51" s="3"/>
      <c r="I51" s="3"/>
      <c r="J51" s="3"/>
      <c r="K51" s="3"/>
      <c r="L51" s="3"/>
      <c r="M51" s="17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2:28" ht="13.2" x14ac:dyDescent="0.25">
      <c r="B52" s="13"/>
      <c r="C52" s="3"/>
      <c r="D52" s="3"/>
      <c r="E52" s="3"/>
      <c r="F52" s="3"/>
      <c r="G52" s="3"/>
      <c r="H52" s="3"/>
      <c r="I52" s="3"/>
      <c r="J52" s="3"/>
      <c r="K52" s="3"/>
      <c r="L52" s="3"/>
      <c r="M52" s="17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2:28" ht="13.2" x14ac:dyDescent="0.25">
      <c r="B53" s="13"/>
      <c r="C53" s="3"/>
      <c r="D53" s="3"/>
      <c r="E53" s="3"/>
      <c r="F53" s="3"/>
      <c r="G53" s="3"/>
      <c r="H53" s="3"/>
      <c r="I53" s="3"/>
      <c r="J53" s="3"/>
      <c r="K53" s="3"/>
      <c r="L53" s="3"/>
      <c r="M53" s="17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2:28" ht="13.2" x14ac:dyDescent="0.25">
      <c r="B54" s="13"/>
      <c r="C54" s="3"/>
      <c r="D54" s="3"/>
      <c r="E54" s="3"/>
      <c r="F54" s="3"/>
      <c r="G54" s="3"/>
      <c r="H54" s="3"/>
      <c r="I54" s="3"/>
      <c r="J54" s="3"/>
      <c r="K54" s="3"/>
      <c r="L54" s="3"/>
      <c r="M54" s="17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2:28" ht="13.2" x14ac:dyDescent="0.25">
      <c r="B55" s="13"/>
      <c r="C55" s="3"/>
      <c r="D55" s="3"/>
      <c r="E55" s="3"/>
      <c r="F55" s="3"/>
      <c r="G55" s="3"/>
      <c r="H55" s="3"/>
      <c r="I55" s="3"/>
      <c r="J55" s="3"/>
      <c r="K55" s="3"/>
      <c r="L55" s="3"/>
      <c r="M55" s="17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2:28" ht="13.2" x14ac:dyDescent="0.25">
      <c r="B56" s="13"/>
      <c r="C56" s="3"/>
      <c r="D56" s="3"/>
      <c r="E56" s="3"/>
      <c r="F56" s="3"/>
      <c r="G56" s="3"/>
      <c r="H56" s="3"/>
      <c r="I56" s="3"/>
      <c r="J56" s="3"/>
      <c r="K56" s="3"/>
      <c r="L56" s="3"/>
      <c r="M56" s="17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2:28" ht="13.2" x14ac:dyDescent="0.25">
      <c r="B57" s="13"/>
      <c r="C57" s="3"/>
      <c r="D57" s="3"/>
      <c r="E57" s="3"/>
      <c r="F57" s="3"/>
      <c r="G57" s="3"/>
      <c r="H57" s="3"/>
      <c r="I57" s="3"/>
      <c r="J57" s="3"/>
      <c r="K57" s="3"/>
      <c r="L57" s="3"/>
      <c r="M57" s="17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2:28" ht="13.2" x14ac:dyDescent="0.25">
      <c r="B58" s="13"/>
      <c r="C58" s="3"/>
      <c r="D58" s="3"/>
      <c r="E58" s="3"/>
      <c r="F58" s="3"/>
      <c r="G58" s="3"/>
      <c r="H58" s="3"/>
      <c r="I58" s="3"/>
      <c r="J58" s="3"/>
      <c r="K58" s="3"/>
      <c r="L58" s="3"/>
      <c r="M58" s="17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2:28" ht="13.2" x14ac:dyDescent="0.25">
      <c r="B59" s="13"/>
      <c r="C59" s="3"/>
      <c r="D59" s="3"/>
      <c r="E59" s="3"/>
      <c r="F59" s="3"/>
      <c r="G59" s="3"/>
      <c r="H59" s="3"/>
      <c r="I59" s="3"/>
      <c r="J59" s="3"/>
      <c r="K59" s="3"/>
      <c r="L59" s="3"/>
      <c r="M59" s="17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2:28" ht="13.2" x14ac:dyDescent="0.25">
      <c r="B60" s="13"/>
      <c r="C60" s="3"/>
      <c r="D60" s="3"/>
      <c r="E60" s="3"/>
      <c r="F60" s="3"/>
      <c r="G60" s="3"/>
      <c r="H60" s="3"/>
      <c r="I60" s="3"/>
      <c r="J60" s="3"/>
      <c r="K60" s="3"/>
      <c r="L60" s="3"/>
      <c r="M60" s="17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2:28" ht="13.2" x14ac:dyDescent="0.25">
      <c r="B61" s="13"/>
      <c r="C61" s="3"/>
      <c r="D61" s="3"/>
      <c r="E61" s="3"/>
      <c r="F61" s="3"/>
      <c r="G61" s="3"/>
      <c r="H61" s="3"/>
      <c r="I61" s="3"/>
      <c r="J61" s="3"/>
      <c r="K61" s="3"/>
      <c r="L61" s="3"/>
      <c r="M61" s="17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2:28" ht="13.2" x14ac:dyDescent="0.25">
      <c r="B62" s="13"/>
      <c r="C62" s="3"/>
      <c r="D62" s="3"/>
      <c r="E62" s="3"/>
      <c r="F62" s="3"/>
      <c r="G62" s="3"/>
      <c r="H62" s="3"/>
      <c r="I62" s="3"/>
      <c r="J62" s="3"/>
      <c r="K62" s="3"/>
      <c r="L62" s="3"/>
      <c r="M62" s="17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2:28" ht="13.2" x14ac:dyDescent="0.25">
      <c r="B63" s="13"/>
      <c r="C63" s="3"/>
      <c r="D63" s="3"/>
      <c r="E63" s="3"/>
      <c r="F63" s="3"/>
      <c r="G63" s="3"/>
      <c r="H63" s="3"/>
      <c r="I63" s="3"/>
      <c r="J63" s="3"/>
      <c r="K63" s="3"/>
      <c r="L63" s="3"/>
      <c r="M63" s="17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2:28" ht="13.2" x14ac:dyDescent="0.25">
      <c r="B64" s="13"/>
      <c r="C64" s="3"/>
      <c r="D64" s="3"/>
      <c r="E64" s="3"/>
      <c r="F64" s="3"/>
      <c r="G64" s="3"/>
      <c r="H64" s="3"/>
      <c r="I64" s="3"/>
      <c r="J64" s="3"/>
      <c r="K64" s="3"/>
      <c r="L64" s="3"/>
      <c r="M64" s="17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2:28" ht="13.2" x14ac:dyDescent="0.25">
      <c r="B65" s="13"/>
      <c r="C65" s="3"/>
      <c r="D65" s="3"/>
      <c r="E65" s="3"/>
      <c r="F65" s="3"/>
      <c r="G65" s="3"/>
      <c r="H65" s="3"/>
      <c r="I65" s="3"/>
      <c r="J65" s="3"/>
      <c r="K65" s="3"/>
      <c r="L65" s="3"/>
      <c r="M65" s="17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2:28" ht="13.2" x14ac:dyDescent="0.25">
      <c r="B66" s="13"/>
      <c r="C66" s="3"/>
      <c r="D66" s="3"/>
      <c r="E66" s="3"/>
      <c r="F66" s="3"/>
      <c r="G66" s="3"/>
      <c r="H66" s="3"/>
      <c r="I66" s="3"/>
      <c r="J66" s="3"/>
      <c r="K66" s="3"/>
      <c r="L66" s="3"/>
      <c r="M66" s="17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2:28" ht="13.2" x14ac:dyDescent="0.25">
      <c r="B67" s="13"/>
      <c r="C67" s="3"/>
      <c r="D67" s="3"/>
      <c r="E67" s="3"/>
      <c r="F67" s="3"/>
      <c r="G67" s="3"/>
      <c r="H67" s="3"/>
      <c r="I67" s="3"/>
      <c r="J67" s="3"/>
      <c r="K67" s="3"/>
      <c r="L67" s="3"/>
      <c r="M67" s="17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2:28" ht="13.2" x14ac:dyDescent="0.25">
      <c r="B68" s="13"/>
      <c r="C68" s="3"/>
      <c r="D68" s="3"/>
      <c r="E68" s="3"/>
      <c r="F68" s="3"/>
      <c r="G68" s="3"/>
      <c r="H68" s="3"/>
      <c r="I68" s="3"/>
      <c r="J68" s="3"/>
      <c r="K68" s="3"/>
      <c r="L68" s="3"/>
      <c r="M68" s="17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2:28" ht="13.2" x14ac:dyDescent="0.25">
      <c r="B69" s="13"/>
      <c r="C69" s="3"/>
      <c r="D69" s="3"/>
      <c r="E69" s="3"/>
      <c r="F69" s="3"/>
      <c r="G69" s="3"/>
      <c r="H69" s="3"/>
      <c r="I69" s="3"/>
      <c r="J69" s="3"/>
      <c r="K69" s="3"/>
      <c r="L69" s="3"/>
      <c r="M69" s="17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2:28" ht="13.2" x14ac:dyDescent="0.25">
      <c r="B70" s="13"/>
      <c r="C70" s="3"/>
      <c r="D70" s="3"/>
      <c r="E70" s="3"/>
      <c r="F70" s="3"/>
      <c r="G70" s="3"/>
      <c r="H70" s="3"/>
      <c r="I70" s="3"/>
      <c r="J70" s="3"/>
      <c r="K70" s="3"/>
      <c r="L70" s="3"/>
      <c r="M70" s="17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2:28" ht="13.2" x14ac:dyDescent="0.25">
      <c r="B71" s="13"/>
      <c r="C71" s="3"/>
      <c r="D71" s="3"/>
      <c r="E71" s="3"/>
      <c r="F71" s="3"/>
      <c r="G71" s="3"/>
      <c r="H71" s="3"/>
      <c r="I71" s="3"/>
      <c r="J71" s="3"/>
      <c r="K71" s="3"/>
      <c r="L71" s="3"/>
      <c r="M71" s="17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2:28" ht="13.2" x14ac:dyDescent="0.25">
      <c r="B72" s="13"/>
      <c r="C72" s="3"/>
      <c r="D72" s="3"/>
      <c r="E72" s="3"/>
      <c r="F72" s="3"/>
      <c r="G72" s="3"/>
      <c r="H72" s="3"/>
      <c r="I72" s="3"/>
      <c r="J72" s="3"/>
      <c r="K72" s="3"/>
      <c r="L72" s="3"/>
      <c r="M72" s="17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2:28" ht="13.2" x14ac:dyDescent="0.25">
      <c r="B73" s="13"/>
      <c r="C73" s="3"/>
      <c r="D73" s="3"/>
      <c r="E73" s="3"/>
      <c r="F73" s="3"/>
      <c r="G73" s="3"/>
      <c r="H73" s="3"/>
      <c r="I73" s="3"/>
      <c r="J73" s="3"/>
      <c r="K73" s="3"/>
      <c r="L73" s="3"/>
      <c r="M73" s="17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2:28" ht="13.2" x14ac:dyDescent="0.25">
      <c r="B74" s="13"/>
      <c r="C74" s="3"/>
      <c r="D74" s="3"/>
      <c r="E74" s="3"/>
      <c r="F74" s="3"/>
      <c r="G74" s="3"/>
      <c r="H74" s="3"/>
      <c r="I74" s="3"/>
      <c r="J74" s="3"/>
      <c r="K74" s="3"/>
      <c r="L74" s="3"/>
      <c r="M74" s="17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2:28" ht="13.2" x14ac:dyDescent="0.25">
      <c r="B75" s="13"/>
      <c r="C75" s="3"/>
      <c r="D75" s="3"/>
      <c r="E75" s="3"/>
      <c r="F75" s="3"/>
      <c r="G75" s="3"/>
      <c r="H75" s="3"/>
      <c r="I75" s="3"/>
      <c r="J75" s="3"/>
      <c r="K75" s="3"/>
      <c r="L75" s="3"/>
      <c r="M75" s="17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2:28" ht="13.2" x14ac:dyDescent="0.25">
      <c r="B76" s="13"/>
      <c r="C76" s="3"/>
      <c r="D76" s="3"/>
      <c r="E76" s="3"/>
      <c r="F76" s="3"/>
      <c r="G76" s="3"/>
      <c r="H76" s="3"/>
      <c r="I76" s="3"/>
      <c r="J76" s="3"/>
      <c r="K76" s="3"/>
      <c r="L76" s="3"/>
      <c r="M76" s="17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2:28" ht="13.2" x14ac:dyDescent="0.25">
      <c r="B77" s="13"/>
      <c r="C77" s="3"/>
      <c r="D77" s="3"/>
      <c r="E77" s="3"/>
      <c r="F77" s="3"/>
      <c r="G77" s="3"/>
      <c r="H77" s="3"/>
      <c r="I77" s="3"/>
      <c r="J77" s="3"/>
      <c r="K77" s="3"/>
      <c r="L77" s="3"/>
      <c r="M77" s="17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2:28" ht="13.2" x14ac:dyDescent="0.25">
      <c r="B78" s="13"/>
      <c r="C78" s="3"/>
      <c r="D78" s="3"/>
      <c r="E78" s="3"/>
      <c r="F78" s="3"/>
      <c r="G78" s="3"/>
      <c r="H78" s="3"/>
      <c r="I78" s="3"/>
      <c r="J78" s="3"/>
      <c r="K78" s="3"/>
      <c r="L78" s="3"/>
      <c r="M78" s="17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2:28" ht="13.2" x14ac:dyDescent="0.25">
      <c r="B79" s="13"/>
      <c r="C79" s="3"/>
      <c r="D79" s="3"/>
      <c r="E79" s="3"/>
      <c r="F79" s="3"/>
      <c r="G79" s="3"/>
      <c r="H79" s="3"/>
      <c r="I79" s="3"/>
      <c r="J79" s="3"/>
      <c r="K79" s="3"/>
      <c r="L79" s="3"/>
      <c r="M79" s="17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2:28" ht="13.2" x14ac:dyDescent="0.25">
      <c r="B80" s="13"/>
      <c r="C80" s="3"/>
      <c r="D80" s="3"/>
      <c r="E80" s="3"/>
      <c r="F80" s="3"/>
      <c r="G80" s="3"/>
      <c r="H80" s="3"/>
      <c r="I80" s="3"/>
      <c r="J80" s="3"/>
      <c r="K80" s="3"/>
      <c r="L80" s="3"/>
      <c r="M80" s="17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2:28" ht="13.2" x14ac:dyDescent="0.25">
      <c r="B81" s="13"/>
      <c r="C81" s="3"/>
      <c r="D81" s="3"/>
      <c r="E81" s="3"/>
      <c r="F81" s="3"/>
      <c r="G81" s="3"/>
      <c r="H81" s="3"/>
      <c r="I81" s="3"/>
      <c r="J81" s="3"/>
      <c r="K81" s="3"/>
      <c r="L81" s="3"/>
      <c r="M81" s="17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2:28" ht="13.2" x14ac:dyDescent="0.25">
      <c r="B82" s="13"/>
      <c r="C82" s="3"/>
      <c r="D82" s="3"/>
      <c r="E82" s="3"/>
      <c r="F82" s="3"/>
      <c r="G82" s="3"/>
      <c r="H82" s="3"/>
      <c r="I82" s="3"/>
      <c r="J82" s="3"/>
      <c r="K82" s="3"/>
      <c r="L82" s="3"/>
      <c r="M82" s="17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2:28" ht="13.2" x14ac:dyDescent="0.25">
      <c r="B83" s="13"/>
      <c r="C83" s="3"/>
      <c r="D83" s="3"/>
      <c r="E83" s="3"/>
      <c r="F83" s="3"/>
      <c r="G83" s="3"/>
      <c r="H83" s="3"/>
      <c r="I83" s="3"/>
      <c r="J83" s="3"/>
      <c r="K83" s="3"/>
      <c r="L83" s="3"/>
      <c r="M83" s="17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2:28" ht="13.2" x14ac:dyDescent="0.25">
      <c r="B84" s="13"/>
      <c r="C84" s="3"/>
      <c r="D84" s="3"/>
      <c r="E84" s="3"/>
      <c r="F84" s="3"/>
      <c r="G84" s="3"/>
      <c r="H84" s="3"/>
      <c r="I84" s="3"/>
      <c r="J84" s="3"/>
      <c r="K84" s="3"/>
      <c r="L84" s="3"/>
      <c r="M84" s="17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2:28" ht="13.2" x14ac:dyDescent="0.25">
      <c r="B85" s="13"/>
      <c r="C85" s="3"/>
      <c r="D85" s="3"/>
      <c r="E85" s="3"/>
      <c r="F85" s="3"/>
      <c r="G85" s="3"/>
      <c r="H85" s="3"/>
      <c r="I85" s="3"/>
      <c r="J85" s="3"/>
      <c r="K85" s="3"/>
      <c r="L85" s="3"/>
      <c r="M85" s="17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2:28" ht="13.2" x14ac:dyDescent="0.25">
      <c r="B86" s="13"/>
      <c r="C86" s="3"/>
      <c r="D86" s="3"/>
      <c r="E86" s="3"/>
      <c r="F86" s="3"/>
      <c r="G86" s="3"/>
      <c r="H86" s="3"/>
      <c r="I86" s="3"/>
      <c r="J86" s="3"/>
      <c r="K86" s="3"/>
      <c r="L86" s="3"/>
      <c r="M86" s="17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2:28" ht="13.2" x14ac:dyDescent="0.25">
      <c r="B87" s="13"/>
      <c r="C87" s="3"/>
      <c r="D87" s="3"/>
      <c r="E87" s="3"/>
      <c r="F87" s="3"/>
      <c r="G87" s="3"/>
      <c r="H87" s="3"/>
      <c r="I87" s="3"/>
      <c r="J87" s="3"/>
      <c r="K87" s="3"/>
      <c r="L87" s="3"/>
      <c r="M87" s="17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2:28" ht="13.2" x14ac:dyDescent="0.25">
      <c r="B88" s="13"/>
      <c r="C88" s="3"/>
      <c r="D88" s="3"/>
      <c r="E88" s="3"/>
      <c r="F88" s="3"/>
      <c r="G88" s="3"/>
      <c r="H88" s="3"/>
      <c r="I88" s="3"/>
      <c r="J88" s="3"/>
      <c r="K88" s="3"/>
      <c r="L88" s="3"/>
      <c r="M88" s="17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2:28" ht="13.2" x14ac:dyDescent="0.25">
      <c r="B89" s="13"/>
      <c r="C89" s="3"/>
      <c r="D89" s="3"/>
      <c r="E89" s="3"/>
      <c r="F89" s="3"/>
      <c r="G89" s="3"/>
      <c r="H89" s="3"/>
      <c r="I89" s="3"/>
      <c r="J89" s="3"/>
      <c r="K89" s="3"/>
      <c r="L89" s="3"/>
      <c r="M89" s="17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2:28" ht="13.2" x14ac:dyDescent="0.25">
      <c r="B90" s="13"/>
      <c r="C90" s="3"/>
      <c r="D90" s="3"/>
      <c r="E90" s="3"/>
      <c r="F90" s="3"/>
      <c r="G90" s="3"/>
      <c r="H90" s="3"/>
      <c r="I90" s="3"/>
      <c r="J90" s="3"/>
      <c r="K90" s="3"/>
      <c r="L90" s="3"/>
      <c r="M90" s="17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2:28" ht="13.2" x14ac:dyDescent="0.25">
      <c r="B91" s="13"/>
      <c r="C91" s="3"/>
      <c r="D91" s="3"/>
      <c r="E91" s="3"/>
      <c r="F91" s="3"/>
      <c r="G91" s="3"/>
      <c r="H91" s="3"/>
      <c r="I91" s="3"/>
      <c r="J91" s="3"/>
      <c r="K91" s="3"/>
      <c r="L91" s="3"/>
      <c r="M91" s="17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2:28" ht="13.2" x14ac:dyDescent="0.25">
      <c r="B92" s="13"/>
      <c r="C92" s="3"/>
      <c r="D92" s="3"/>
      <c r="E92" s="3"/>
      <c r="F92" s="3"/>
      <c r="G92" s="3"/>
      <c r="H92" s="3"/>
      <c r="I92" s="3"/>
      <c r="J92" s="3"/>
      <c r="K92" s="3"/>
      <c r="L92" s="3"/>
      <c r="M92" s="17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2:28" ht="13.2" x14ac:dyDescent="0.25">
      <c r="B93" s="13"/>
      <c r="C93" s="3"/>
      <c r="D93" s="3"/>
      <c r="E93" s="3"/>
      <c r="F93" s="3"/>
      <c r="G93" s="3"/>
      <c r="H93" s="3"/>
      <c r="I93" s="3"/>
      <c r="J93" s="3"/>
      <c r="K93" s="3"/>
      <c r="L93" s="3"/>
      <c r="M93" s="17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2:28" ht="13.2" x14ac:dyDescent="0.25">
      <c r="B94" s="13"/>
      <c r="C94" s="3"/>
      <c r="D94" s="3"/>
      <c r="E94" s="3"/>
      <c r="F94" s="3"/>
      <c r="G94" s="3"/>
      <c r="H94" s="3"/>
      <c r="I94" s="3"/>
      <c r="J94" s="3"/>
      <c r="K94" s="3"/>
      <c r="L94" s="3"/>
      <c r="M94" s="17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2:28" ht="13.2" x14ac:dyDescent="0.25">
      <c r="B95" s="13"/>
      <c r="C95" s="3"/>
      <c r="D95" s="3"/>
      <c r="E95" s="3"/>
      <c r="F95" s="3"/>
      <c r="G95" s="3"/>
      <c r="H95" s="3"/>
      <c r="I95" s="3"/>
      <c r="J95" s="3"/>
      <c r="K95" s="3"/>
      <c r="L95" s="3"/>
      <c r="M95" s="17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2:28" ht="13.2" x14ac:dyDescent="0.25">
      <c r="B96" s="13"/>
      <c r="C96" s="3"/>
      <c r="D96" s="3"/>
      <c r="E96" s="3"/>
      <c r="F96" s="3"/>
      <c r="G96" s="3"/>
      <c r="H96" s="3"/>
      <c r="I96" s="3"/>
      <c r="J96" s="3"/>
      <c r="K96" s="3"/>
      <c r="L96" s="3"/>
      <c r="M96" s="17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2:28" ht="13.2" x14ac:dyDescent="0.25">
      <c r="B97" s="13"/>
      <c r="C97" s="3"/>
      <c r="D97" s="3"/>
      <c r="E97" s="3"/>
      <c r="F97" s="3"/>
      <c r="G97" s="3"/>
      <c r="H97" s="3"/>
      <c r="I97" s="3"/>
      <c r="J97" s="3"/>
      <c r="K97" s="3"/>
      <c r="L97" s="3"/>
      <c r="M97" s="17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2:28" ht="13.2" x14ac:dyDescent="0.25">
      <c r="B98" s="13"/>
      <c r="C98" s="3"/>
      <c r="D98" s="3"/>
      <c r="E98" s="3"/>
      <c r="F98" s="3"/>
      <c r="G98" s="3"/>
      <c r="H98" s="3"/>
      <c r="I98" s="3"/>
      <c r="J98" s="3"/>
      <c r="K98" s="3"/>
      <c r="L98" s="3"/>
      <c r="M98" s="17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2:28" ht="13.2" x14ac:dyDescent="0.25">
      <c r="B99" s="13"/>
      <c r="C99" s="3"/>
      <c r="D99" s="3"/>
      <c r="E99" s="3"/>
      <c r="F99" s="3"/>
      <c r="G99" s="3"/>
      <c r="H99" s="3"/>
      <c r="I99" s="3"/>
      <c r="J99" s="3"/>
      <c r="K99" s="3"/>
      <c r="L99" s="3"/>
      <c r="M99" s="17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2:28" ht="13.2" x14ac:dyDescent="0.25">
      <c r="B100" s="1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17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2:28" ht="13.2" x14ac:dyDescent="0.25">
      <c r="B101" s="1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17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2:28" ht="13.2" x14ac:dyDescent="0.25">
      <c r="B102" s="1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17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2:28" ht="13.2" x14ac:dyDescent="0.25">
      <c r="B103" s="1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17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2:28" ht="13.2" x14ac:dyDescent="0.25">
      <c r="B104" s="1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17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2:28" ht="13.2" x14ac:dyDescent="0.25">
      <c r="B105" s="1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17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2:28" ht="13.2" x14ac:dyDescent="0.25">
      <c r="B106" s="1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17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2:28" ht="13.2" x14ac:dyDescent="0.25">
      <c r="B107" s="1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17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2:28" ht="13.2" x14ac:dyDescent="0.25">
      <c r="B108" s="1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17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2:28" ht="13.2" x14ac:dyDescent="0.25">
      <c r="B109" s="1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17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2:28" ht="13.2" x14ac:dyDescent="0.25">
      <c r="B110" s="1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17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2:28" ht="13.2" x14ac:dyDescent="0.25">
      <c r="B111" s="1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17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2:28" ht="13.2" x14ac:dyDescent="0.25">
      <c r="B112" s="1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17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2:28" ht="13.2" x14ac:dyDescent="0.25">
      <c r="B113" s="1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17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2:28" ht="13.2" x14ac:dyDescent="0.25">
      <c r="B114" s="1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17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2:28" ht="13.2" x14ac:dyDescent="0.25">
      <c r="B115" s="1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17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2:28" ht="13.2" x14ac:dyDescent="0.25">
      <c r="B116" s="1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17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2:28" ht="13.2" x14ac:dyDescent="0.25">
      <c r="B117" s="1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17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2:28" ht="13.2" x14ac:dyDescent="0.25">
      <c r="B118" s="1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17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2:28" ht="13.2" x14ac:dyDescent="0.25">
      <c r="B119" s="1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17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2:28" ht="13.2" x14ac:dyDescent="0.25">
      <c r="B120" s="1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17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2:28" ht="13.2" x14ac:dyDescent="0.25">
      <c r="B121" s="1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17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2:28" ht="13.2" x14ac:dyDescent="0.25">
      <c r="B122" s="1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17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2:28" ht="13.2" x14ac:dyDescent="0.25">
      <c r="B123" s="1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17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2:28" ht="13.2" x14ac:dyDescent="0.25">
      <c r="B124" s="1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17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2:28" ht="13.2" x14ac:dyDescent="0.25">
      <c r="B125" s="1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17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2:28" ht="13.2" x14ac:dyDescent="0.25">
      <c r="B126" s="1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17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2:28" ht="13.2" x14ac:dyDescent="0.25">
      <c r="B127" s="1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17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2:28" ht="13.2" x14ac:dyDescent="0.25">
      <c r="B128" s="1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17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2:28" ht="13.2" x14ac:dyDescent="0.25">
      <c r="B129" s="1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17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2:28" ht="13.2" x14ac:dyDescent="0.25">
      <c r="B130" s="1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17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2:28" ht="13.2" x14ac:dyDescent="0.25">
      <c r="B131" s="1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17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2:28" ht="13.2" x14ac:dyDescent="0.25">
      <c r="B132" s="1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17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2:28" ht="13.2" x14ac:dyDescent="0.25">
      <c r="B133" s="1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17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2:28" ht="13.2" x14ac:dyDescent="0.25">
      <c r="B134" s="1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17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2:28" ht="13.2" x14ac:dyDescent="0.25">
      <c r="B135" s="1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17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2:28" ht="13.2" x14ac:dyDescent="0.25">
      <c r="B136" s="1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17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2:28" ht="13.2" x14ac:dyDescent="0.25">
      <c r="B137" s="1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17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2:28" ht="13.2" x14ac:dyDescent="0.25">
      <c r="B138" s="1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17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2:28" ht="13.2" x14ac:dyDescent="0.25">
      <c r="B139" s="1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17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2:28" ht="13.2" x14ac:dyDescent="0.25">
      <c r="B140" s="1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17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2:28" ht="13.2" x14ac:dyDescent="0.25">
      <c r="B141" s="1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17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2:28" ht="13.2" x14ac:dyDescent="0.25">
      <c r="B142" s="1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17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2:28" ht="13.2" x14ac:dyDescent="0.25">
      <c r="B143" s="1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17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2:28" ht="13.2" x14ac:dyDescent="0.25">
      <c r="B144" s="1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17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2:28" ht="13.2" x14ac:dyDescent="0.25">
      <c r="B145" s="1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17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2:28" ht="13.2" x14ac:dyDescent="0.25">
      <c r="B146" s="1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17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2:28" ht="13.2" x14ac:dyDescent="0.25">
      <c r="B147" s="1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17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2:28" ht="13.2" x14ac:dyDescent="0.25">
      <c r="B148" s="1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17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2:28" ht="13.2" x14ac:dyDescent="0.25">
      <c r="B149" s="1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17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2:28" ht="13.2" x14ac:dyDescent="0.25">
      <c r="B150" s="1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17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2:28" ht="13.2" x14ac:dyDescent="0.25">
      <c r="B151" s="1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17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2:28" ht="13.2" x14ac:dyDescent="0.25">
      <c r="B152" s="1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17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2:28" ht="13.2" x14ac:dyDescent="0.25">
      <c r="B153" s="1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17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2:28" ht="13.2" x14ac:dyDescent="0.25">
      <c r="B154" s="1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17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2:28" ht="13.2" x14ac:dyDescent="0.25">
      <c r="B155" s="1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17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2:28" ht="13.2" x14ac:dyDescent="0.25">
      <c r="B156" s="1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17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2:28" ht="13.2" x14ac:dyDescent="0.25">
      <c r="B157" s="1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17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2:28" ht="13.2" x14ac:dyDescent="0.25">
      <c r="B158" s="1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17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2:28" ht="13.2" x14ac:dyDescent="0.25">
      <c r="B159" s="1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17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2:28" ht="13.2" x14ac:dyDescent="0.25">
      <c r="B160" s="1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17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2:28" ht="13.2" x14ac:dyDescent="0.25">
      <c r="B161" s="1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17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2:28" ht="13.2" x14ac:dyDescent="0.25">
      <c r="B162" s="1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17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2:28" ht="13.2" x14ac:dyDescent="0.25">
      <c r="B163" s="1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17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2:28" ht="13.2" x14ac:dyDescent="0.25">
      <c r="B164" s="1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17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2:28" ht="13.2" x14ac:dyDescent="0.25">
      <c r="B165" s="1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17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2:28" ht="13.2" x14ac:dyDescent="0.25">
      <c r="B166" s="1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17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2:28" ht="13.2" x14ac:dyDescent="0.25">
      <c r="B167" s="1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17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2:28" ht="13.2" x14ac:dyDescent="0.25">
      <c r="B168" s="1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17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2:28" ht="13.2" x14ac:dyDescent="0.25">
      <c r="B169" s="1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17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2:28" ht="13.2" x14ac:dyDescent="0.25">
      <c r="B170" s="1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17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2:28" ht="13.2" x14ac:dyDescent="0.25">
      <c r="B171" s="1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17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2:28" ht="13.2" x14ac:dyDescent="0.25">
      <c r="B172" s="1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17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2:28" ht="13.2" x14ac:dyDescent="0.25">
      <c r="B173" s="1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17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2:28" ht="13.2" x14ac:dyDescent="0.25">
      <c r="B174" s="1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17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2:28" ht="13.2" x14ac:dyDescent="0.25">
      <c r="B175" s="1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17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2:28" ht="13.2" x14ac:dyDescent="0.25">
      <c r="B176" s="1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17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2:28" ht="13.2" x14ac:dyDescent="0.25">
      <c r="B177" s="1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17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2:28" ht="13.2" x14ac:dyDescent="0.25">
      <c r="B178" s="1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17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2:28" ht="13.2" x14ac:dyDescent="0.25">
      <c r="B179" s="1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17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2:28" ht="13.2" x14ac:dyDescent="0.25">
      <c r="B180" s="1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17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2:28" ht="13.2" x14ac:dyDescent="0.25">
      <c r="B181" s="1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17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2:28" ht="13.2" x14ac:dyDescent="0.25">
      <c r="B182" s="1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17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2:28" ht="13.2" x14ac:dyDescent="0.25">
      <c r="B183" s="1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17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2:28" ht="13.2" x14ac:dyDescent="0.25">
      <c r="B184" s="1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17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2:28" ht="13.2" x14ac:dyDescent="0.25">
      <c r="B185" s="1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17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2:28" ht="13.2" x14ac:dyDescent="0.25">
      <c r="B186" s="1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17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2:28" ht="13.2" x14ac:dyDescent="0.25">
      <c r="B187" s="1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17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2:28" ht="13.2" x14ac:dyDescent="0.25">
      <c r="B188" s="1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17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2:28" ht="13.2" x14ac:dyDescent="0.25">
      <c r="B189" s="1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17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2:28" ht="13.2" x14ac:dyDescent="0.25">
      <c r="B190" s="1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17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2:28" ht="13.2" x14ac:dyDescent="0.25">
      <c r="B191" s="1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17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2:28" ht="13.2" x14ac:dyDescent="0.25">
      <c r="B192" s="1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17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2:28" ht="13.2" x14ac:dyDescent="0.25">
      <c r="B193" s="1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17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2:28" ht="13.2" x14ac:dyDescent="0.25">
      <c r="B194" s="1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17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2:28" ht="13.2" x14ac:dyDescent="0.25">
      <c r="B195" s="1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17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2:28" ht="13.2" x14ac:dyDescent="0.25">
      <c r="B196" s="1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17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2:28" ht="13.2" x14ac:dyDescent="0.25">
      <c r="B197" s="1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17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2:28" ht="13.2" x14ac:dyDescent="0.25">
      <c r="B198" s="1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17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2:28" ht="13.2" x14ac:dyDescent="0.25">
      <c r="B199" s="1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17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2:28" ht="13.2" x14ac:dyDescent="0.25">
      <c r="B200" s="1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17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2:28" ht="13.2" x14ac:dyDescent="0.25">
      <c r="B201" s="1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17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2:28" ht="13.2" x14ac:dyDescent="0.25">
      <c r="B202" s="1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17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2:28" ht="13.2" x14ac:dyDescent="0.25">
      <c r="B203" s="1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17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2:28" ht="13.2" x14ac:dyDescent="0.25">
      <c r="B204" s="1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17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2:28" ht="13.2" x14ac:dyDescent="0.25">
      <c r="B205" s="1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17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2:28" ht="13.2" x14ac:dyDescent="0.25">
      <c r="B206" s="1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17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2:28" ht="13.2" x14ac:dyDescent="0.25">
      <c r="B207" s="1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17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2:28" ht="13.2" x14ac:dyDescent="0.25">
      <c r="B208" s="1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17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2:28" ht="13.2" x14ac:dyDescent="0.25">
      <c r="B209" s="1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17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2:28" ht="13.2" x14ac:dyDescent="0.25">
      <c r="B210" s="1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17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2:28" ht="13.2" x14ac:dyDescent="0.25">
      <c r="B211" s="1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17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2:28" ht="13.2" x14ac:dyDescent="0.25">
      <c r="B212" s="1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17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2:28" ht="13.2" x14ac:dyDescent="0.25">
      <c r="B213" s="1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17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2:28" ht="13.2" x14ac:dyDescent="0.25">
      <c r="B214" s="1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17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2:28" ht="13.2" x14ac:dyDescent="0.25">
      <c r="B215" s="1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17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2:28" ht="13.2" x14ac:dyDescent="0.25">
      <c r="B216" s="1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17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2:28" ht="13.2" x14ac:dyDescent="0.25">
      <c r="B217" s="1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17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2:28" ht="13.2" x14ac:dyDescent="0.25">
      <c r="B218" s="1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17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2:28" ht="13.2" x14ac:dyDescent="0.25">
      <c r="B219" s="1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17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2:28" ht="13.2" x14ac:dyDescent="0.25">
      <c r="B220" s="1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17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2:28" ht="13.2" x14ac:dyDescent="0.25">
      <c r="B221" s="1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17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2:28" ht="13.2" x14ac:dyDescent="0.25">
      <c r="B222" s="1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17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2:28" ht="13.2" x14ac:dyDescent="0.25">
      <c r="B223" s="1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17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2:28" ht="13.2" x14ac:dyDescent="0.25">
      <c r="B224" s="1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17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2:28" ht="13.2" x14ac:dyDescent="0.25">
      <c r="B225" s="1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17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2:28" ht="13.2" x14ac:dyDescent="0.25">
      <c r="B226" s="1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17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2:28" ht="13.2" x14ac:dyDescent="0.25">
      <c r="B227" s="1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17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2:28" ht="13.2" x14ac:dyDescent="0.25">
      <c r="B228" s="1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17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2:28" ht="13.2" x14ac:dyDescent="0.25">
      <c r="B229" s="1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17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2:28" ht="13.2" x14ac:dyDescent="0.25">
      <c r="B230" s="1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17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2:28" ht="13.2" x14ac:dyDescent="0.25">
      <c r="B231" s="1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17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2:28" ht="13.2" x14ac:dyDescent="0.25">
      <c r="B232" s="1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17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2:28" ht="13.2" x14ac:dyDescent="0.25">
      <c r="B233" s="1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17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2:28" ht="13.2" x14ac:dyDescent="0.25">
      <c r="B234" s="1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17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2:28" ht="13.2" x14ac:dyDescent="0.25">
      <c r="B235" s="1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17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2:28" ht="13.2" x14ac:dyDescent="0.25">
      <c r="B236" s="1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17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2:28" ht="13.2" x14ac:dyDescent="0.25">
      <c r="B237" s="1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17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2:28" ht="13.2" x14ac:dyDescent="0.25">
      <c r="B238" s="1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17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2:28" ht="13.2" x14ac:dyDescent="0.25">
      <c r="B239" s="1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17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2:28" ht="13.2" x14ac:dyDescent="0.25">
      <c r="B240" s="1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17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2:28" ht="13.2" x14ac:dyDescent="0.25">
      <c r="B241" s="1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17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2:28" ht="13.2" x14ac:dyDescent="0.25">
      <c r="B242" s="1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17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2:28" ht="13.2" x14ac:dyDescent="0.25">
      <c r="B243" s="1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17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2:28" ht="13.2" x14ac:dyDescent="0.25">
      <c r="B244" s="1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17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2:28" ht="13.2" x14ac:dyDescent="0.25">
      <c r="B245" s="1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17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2:28" ht="13.2" x14ac:dyDescent="0.25">
      <c r="B246" s="1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17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2:28" ht="13.2" x14ac:dyDescent="0.25">
      <c r="B247" s="1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17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2:28" ht="13.2" x14ac:dyDescent="0.25">
      <c r="B248" s="1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17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2:28" ht="13.2" x14ac:dyDescent="0.25">
      <c r="B249" s="1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17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2:28" ht="13.2" x14ac:dyDescent="0.25">
      <c r="B250" s="1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17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2:28" ht="13.2" x14ac:dyDescent="0.25">
      <c r="B251" s="1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17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2:28" ht="13.2" x14ac:dyDescent="0.25">
      <c r="B252" s="1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17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2:28" ht="13.2" x14ac:dyDescent="0.25">
      <c r="B253" s="1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17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2:28" ht="13.2" x14ac:dyDescent="0.25">
      <c r="B254" s="1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17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2:28" ht="13.2" x14ac:dyDescent="0.25">
      <c r="B255" s="1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17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2:28" ht="13.2" x14ac:dyDescent="0.25">
      <c r="B256" s="1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17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2:28" ht="13.2" x14ac:dyDescent="0.25">
      <c r="B257" s="1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17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2:28" ht="13.2" x14ac:dyDescent="0.25">
      <c r="B258" s="1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17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2:28" ht="13.2" x14ac:dyDescent="0.25">
      <c r="B259" s="1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17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2:28" ht="13.2" x14ac:dyDescent="0.25">
      <c r="B260" s="1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17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2:28" ht="13.2" x14ac:dyDescent="0.25">
      <c r="B261" s="1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17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2:28" ht="13.2" x14ac:dyDescent="0.25">
      <c r="B262" s="1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17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2:28" ht="13.2" x14ac:dyDescent="0.25">
      <c r="B263" s="1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17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2:28" ht="13.2" x14ac:dyDescent="0.25">
      <c r="B264" s="1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17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2:28" ht="13.2" x14ac:dyDescent="0.25">
      <c r="B265" s="1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17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2:28" ht="13.2" x14ac:dyDescent="0.25">
      <c r="B266" s="1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17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2:28" ht="13.2" x14ac:dyDescent="0.25">
      <c r="B267" s="1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17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2:28" ht="13.2" x14ac:dyDescent="0.25">
      <c r="B268" s="1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17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2:28" ht="13.2" x14ac:dyDescent="0.25">
      <c r="B269" s="1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17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2:28" ht="13.2" x14ac:dyDescent="0.25">
      <c r="B270" s="1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17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2:28" ht="13.2" x14ac:dyDescent="0.25">
      <c r="B271" s="1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17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2:28" ht="13.2" x14ac:dyDescent="0.25">
      <c r="B272" s="1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17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2:28" ht="13.2" x14ac:dyDescent="0.25">
      <c r="B273" s="1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17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2:28" ht="13.2" x14ac:dyDescent="0.25">
      <c r="B274" s="1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17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2:28" ht="13.2" x14ac:dyDescent="0.25">
      <c r="B275" s="1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17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2:28" ht="13.2" x14ac:dyDescent="0.25">
      <c r="B276" s="1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17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2:28" ht="13.2" x14ac:dyDescent="0.25">
      <c r="B277" s="1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17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2:28" ht="13.2" x14ac:dyDescent="0.25">
      <c r="B278" s="1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17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2:28" ht="13.2" x14ac:dyDescent="0.25">
      <c r="B279" s="1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17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2:28" ht="13.2" x14ac:dyDescent="0.25">
      <c r="B280" s="1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17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2:28" ht="13.2" x14ac:dyDescent="0.25">
      <c r="B281" s="1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17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2:28" ht="13.2" x14ac:dyDescent="0.25">
      <c r="B282" s="1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17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2:28" ht="13.2" x14ac:dyDescent="0.25">
      <c r="B283" s="1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17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2:28" ht="13.2" x14ac:dyDescent="0.25">
      <c r="B284" s="1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17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2:28" ht="13.2" x14ac:dyDescent="0.25">
      <c r="B285" s="1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17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2:28" ht="13.2" x14ac:dyDescent="0.25">
      <c r="B286" s="1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17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2:28" ht="13.2" x14ac:dyDescent="0.25">
      <c r="B287" s="1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17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2:28" ht="13.2" x14ac:dyDescent="0.25">
      <c r="B288" s="1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17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2:28" ht="13.2" x14ac:dyDescent="0.25">
      <c r="B289" s="1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17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2:28" ht="13.2" x14ac:dyDescent="0.25">
      <c r="B290" s="1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17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2:28" ht="13.2" x14ac:dyDescent="0.25">
      <c r="B291" s="1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17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2:28" ht="13.2" x14ac:dyDescent="0.25">
      <c r="B292" s="1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17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2:28" ht="13.2" x14ac:dyDescent="0.25">
      <c r="B293" s="1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17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2:28" ht="13.2" x14ac:dyDescent="0.25">
      <c r="B294" s="1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17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2:28" ht="13.2" x14ac:dyDescent="0.25">
      <c r="B295" s="1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17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2:28" ht="13.2" x14ac:dyDescent="0.25">
      <c r="B296" s="1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17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2:28" ht="13.2" x14ac:dyDescent="0.25">
      <c r="B297" s="1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17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2:28" ht="13.2" x14ac:dyDescent="0.25">
      <c r="B298" s="1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17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2:28" ht="13.2" x14ac:dyDescent="0.25">
      <c r="B299" s="1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17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2:28" ht="13.2" x14ac:dyDescent="0.25">
      <c r="B300" s="1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17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2:28" ht="13.2" x14ac:dyDescent="0.25">
      <c r="B301" s="1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17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2:28" ht="13.2" x14ac:dyDescent="0.25">
      <c r="B302" s="1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17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2:28" ht="13.2" x14ac:dyDescent="0.25">
      <c r="B303" s="1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17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2:28" ht="13.2" x14ac:dyDescent="0.25">
      <c r="B304" s="1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17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2:28" ht="13.2" x14ac:dyDescent="0.25">
      <c r="B305" s="1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17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2:28" ht="13.2" x14ac:dyDescent="0.25">
      <c r="B306" s="1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17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2:28" ht="13.2" x14ac:dyDescent="0.25">
      <c r="B307" s="1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17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2:28" ht="13.2" x14ac:dyDescent="0.25">
      <c r="B308" s="1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17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2:28" ht="13.2" x14ac:dyDescent="0.25">
      <c r="B309" s="1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17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2:28" ht="13.2" x14ac:dyDescent="0.25">
      <c r="B310" s="1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17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2:28" ht="13.2" x14ac:dyDescent="0.25">
      <c r="B311" s="1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17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2:28" ht="13.2" x14ac:dyDescent="0.25">
      <c r="B312" s="1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17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2:28" ht="13.2" x14ac:dyDescent="0.25">
      <c r="B313" s="1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17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2:28" ht="13.2" x14ac:dyDescent="0.25">
      <c r="B314" s="1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17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2:28" ht="13.2" x14ac:dyDescent="0.25">
      <c r="B315" s="1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17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2:28" ht="13.2" x14ac:dyDescent="0.25">
      <c r="B316" s="1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17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2:28" ht="13.2" x14ac:dyDescent="0.25">
      <c r="B317" s="1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17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2:28" ht="13.2" x14ac:dyDescent="0.25">
      <c r="B318" s="1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17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2:28" ht="13.2" x14ac:dyDescent="0.25">
      <c r="B319" s="1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17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2:28" ht="13.2" x14ac:dyDescent="0.25">
      <c r="B320" s="1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17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2:28" ht="13.2" x14ac:dyDescent="0.25">
      <c r="B321" s="1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17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2:28" ht="13.2" x14ac:dyDescent="0.25">
      <c r="B322" s="1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17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2:28" ht="13.2" x14ac:dyDescent="0.25">
      <c r="B323" s="1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17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2:28" ht="13.2" x14ac:dyDescent="0.25">
      <c r="B324" s="1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17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2:28" ht="13.2" x14ac:dyDescent="0.25">
      <c r="B325" s="1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17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2:28" ht="13.2" x14ac:dyDescent="0.25">
      <c r="B326" s="1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17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2:28" ht="13.2" x14ac:dyDescent="0.25">
      <c r="B327" s="1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17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2:28" ht="13.2" x14ac:dyDescent="0.25">
      <c r="B328" s="1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17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2:28" ht="13.2" x14ac:dyDescent="0.25">
      <c r="B329" s="1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17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2:28" ht="13.2" x14ac:dyDescent="0.25">
      <c r="B330" s="1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17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2:28" ht="13.2" x14ac:dyDescent="0.25">
      <c r="B331" s="1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17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2:28" ht="13.2" x14ac:dyDescent="0.25">
      <c r="B332" s="1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17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2:28" ht="13.2" x14ac:dyDescent="0.25">
      <c r="B333" s="1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17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2:28" ht="13.2" x14ac:dyDescent="0.25">
      <c r="B334" s="1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17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2:28" ht="13.2" x14ac:dyDescent="0.25">
      <c r="B335" s="1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17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2:28" ht="13.2" x14ac:dyDescent="0.25">
      <c r="B336" s="1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17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2:28" ht="13.2" x14ac:dyDescent="0.25">
      <c r="B337" s="1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17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2:28" ht="13.2" x14ac:dyDescent="0.25">
      <c r="B338" s="1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17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2:28" ht="13.2" x14ac:dyDescent="0.25">
      <c r="B339" s="1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17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2:28" ht="13.2" x14ac:dyDescent="0.25">
      <c r="B340" s="1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17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2:28" ht="13.2" x14ac:dyDescent="0.25">
      <c r="B341" s="1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17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2:28" ht="13.2" x14ac:dyDescent="0.25">
      <c r="B342" s="1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17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2:28" ht="13.2" x14ac:dyDescent="0.25">
      <c r="B343" s="1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17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2:28" ht="13.2" x14ac:dyDescent="0.25">
      <c r="B344" s="1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17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2:28" ht="13.2" x14ac:dyDescent="0.25">
      <c r="B345" s="1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17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2:28" ht="13.2" x14ac:dyDescent="0.25">
      <c r="B346" s="1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17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2:28" ht="13.2" x14ac:dyDescent="0.25">
      <c r="B347" s="1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17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2:28" ht="13.2" x14ac:dyDescent="0.25">
      <c r="B348" s="1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17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2:28" ht="13.2" x14ac:dyDescent="0.25">
      <c r="B349" s="1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17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2:28" ht="13.2" x14ac:dyDescent="0.25">
      <c r="B350" s="1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17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2:28" ht="13.2" x14ac:dyDescent="0.25">
      <c r="B351" s="1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17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2:28" ht="13.2" x14ac:dyDescent="0.25">
      <c r="B352" s="1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17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2:28" ht="13.2" x14ac:dyDescent="0.25">
      <c r="B353" s="1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17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2:28" ht="13.2" x14ac:dyDescent="0.25">
      <c r="B354" s="1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17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2:28" ht="13.2" x14ac:dyDescent="0.25">
      <c r="B355" s="1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17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2:28" ht="13.2" x14ac:dyDescent="0.25">
      <c r="B356" s="1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17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2:28" ht="13.2" x14ac:dyDescent="0.25">
      <c r="B357" s="1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17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2:28" ht="13.2" x14ac:dyDescent="0.25">
      <c r="B358" s="1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17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2:28" ht="13.2" x14ac:dyDescent="0.25">
      <c r="B359" s="1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17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2:28" ht="13.2" x14ac:dyDescent="0.25">
      <c r="B360" s="1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17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2:28" ht="13.2" x14ac:dyDescent="0.25">
      <c r="B361" s="1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17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2:28" ht="13.2" x14ac:dyDescent="0.25">
      <c r="B362" s="1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17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2:28" ht="13.2" x14ac:dyDescent="0.25">
      <c r="B363" s="1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17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2:28" ht="13.2" x14ac:dyDescent="0.25">
      <c r="B364" s="1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17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2:28" ht="13.2" x14ac:dyDescent="0.25">
      <c r="B365" s="1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17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2:28" ht="13.2" x14ac:dyDescent="0.25">
      <c r="B366" s="1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17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2:28" ht="13.2" x14ac:dyDescent="0.25">
      <c r="B367" s="1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17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2:28" ht="13.2" x14ac:dyDescent="0.25">
      <c r="B368" s="1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17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2:28" ht="13.2" x14ac:dyDescent="0.25">
      <c r="B369" s="1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17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2:28" ht="13.2" x14ac:dyDescent="0.25">
      <c r="B370" s="1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17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2:28" ht="13.2" x14ac:dyDescent="0.25">
      <c r="B371" s="1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17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2:28" ht="13.2" x14ac:dyDescent="0.25">
      <c r="B372" s="1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17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2:28" ht="13.2" x14ac:dyDescent="0.25">
      <c r="B373" s="1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17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2:28" ht="13.2" x14ac:dyDescent="0.25">
      <c r="B374" s="1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17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2:28" ht="13.2" x14ac:dyDescent="0.25">
      <c r="B375" s="1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17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2:28" ht="13.2" x14ac:dyDescent="0.25">
      <c r="B376" s="1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17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2:28" ht="13.2" x14ac:dyDescent="0.25">
      <c r="B377" s="1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17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2:28" ht="13.2" x14ac:dyDescent="0.25">
      <c r="B378" s="1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17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2:28" ht="13.2" x14ac:dyDescent="0.25">
      <c r="B379" s="1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17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2:28" ht="13.2" x14ac:dyDescent="0.25">
      <c r="B380" s="1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17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2:28" ht="13.2" x14ac:dyDescent="0.25">
      <c r="B381" s="1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17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2:28" ht="13.2" x14ac:dyDescent="0.25">
      <c r="B382" s="1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17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2:28" ht="13.2" x14ac:dyDescent="0.25">
      <c r="B383" s="1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17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2:28" ht="13.2" x14ac:dyDescent="0.25">
      <c r="B384" s="1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17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2:28" ht="13.2" x14ac:dyDescent="0.25">
      <c r="B385" s="1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17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2:28" ht="13.2" x14ac:dyDescent="0.25">
      <c r="B386" s="1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17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2:28" ht="13.2" x14ac:dyDescent="0.25">
      <c r="B387" s="1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17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2:28" ht="13.2" x14ac:dyDescent="0.25">
      <c r="B388" s="1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17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2:28" ht="13.2" x14ac:dyDescent="0.25">
      <c r="B389" s="1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17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2:28" ht="13.2" x14ac:dyDescent="0.25">
      <c r="B390" s="1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17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2:28" ht="13.2" x14ac:dyDescent="0.25">
      <c r="B391" s="1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17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2:28" ht="13.2" x14ac:dyDescent="0.25">
      <c r="B392" s="1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17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2:28" ht="13.2" x14ac:dyDescent="0.25">
      <c r="B393" s="1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17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2:28" ht="13.2" x14ac:dyDescent="0.25">
      <c r="B394" s="1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17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2:28" ht="13.2" x14ac:dyDescent="0.25">
      <c r="B395" s="1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17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2:28" ht="13.2" x14ac:dyDescent="0.25">
      <c r="B396" s="1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17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2:28" ht="13.2" x14ac:dyDescent="0.25">
      <c r="B397" s="1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17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2:28" ht="13.2" x14ac:dyDescent="0.25">
      <c r="B398" s="1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17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2:28" ht="13.2" x14ac:dyDescent="0.25">
      <c r="B399" s="1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17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2:28" ht="13.2" x14ac:dyDescent="0.25">
      <c r="B400" s="1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17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2:28" ht="13.2" x14ac:dyDescent="0.25">
      <c r="B401" s="1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17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2:28" ht="13.2" x14ac:dyDescent="0.25">
      <c r="B402" s="1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17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2:28" ht="13.2" x14ac:dyDescent="0.25">
      <c r="B403" s="1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17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2:28" ht="13.2" x14ac:dyDescent="0.25">
      <c r="B404" s="1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17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2:28" ht="13.2" x14ac:dyDescent="0.25">
      <c r="B405" s="1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17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2:28" ht="13.2" x14ac:dyDescent="0.25">
      <c r="B406" s="1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17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2:28" ht="13.2" x14ac:dyDescent="0.25">
      <c r="B407" s="1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17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2:28" ht="13.2" x14ac:dyDescent="0.25">
      <c r="B408" s="1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17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2:28" ht="13.2" x14ac:dyDescent="0.25">
      <c r="B409" s="1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17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2:28" ht="13.2" x14ac:dyDescent="0.25">
      <c r="B410" s="1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17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2:28" ht="13.2" x14ac:dyDescent="0.25">
      <c r="B411" s="1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17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2:28" ht="13.2" x14ac:dyDescent="0.25">
      <c r="B412" s="1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17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2:28" ht="13.2" x14ac:dyDescent="0.25">
      <c r="B413" s="1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17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2:28" ht="13.2" x14ac:dyDescent="0.25">
      <c r="B414" s="1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17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2:28" ht="13.2" x14ac:dyDescent="0.25">
      <c r="B415" s="1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17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2:28" ht="13.2" x14ac:dyDescent="0.25">
      <c r="B416" s="1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17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2:28" ht="13.2" x14ac:dyDescent="0.25">
      <c r="B417" s="1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17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2:28" ht="13.2" x14ac:dyDescent="0.25">
      <c r="B418" s="1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17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2:28" ht="13.2" x14ac:dyDescent="0.25">
      <c r="B419" s="1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17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2:28" ht="13.2" x14ac:dyDescent="0.25">
      <c r="B420" s="1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17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2:28" ht="13.2" x14ac:dyDescent="0.25">
      <c r="B421" s="1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17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2:28" ht="13.2" x14ac:dyDescent="0.25">
      <c r="B422" s="1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17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2:28" ht="13.2" x14ac:dyDescent="0.25">
      <c r="B423" s="1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17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2:28" ht="13.2" x14ac:dyDescent="0.25">
      <c r="B424" s="1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17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2:28" ht="13.2" x14ac:dyDescent="0.25">
      <c r="B425" s="1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17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2:28" ht="13.2" x14ac:dyDescent="0.25">
      <c r="B426" s="1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17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2:28" ht="13.2" x14ac:dyDescent="0.25">
      <c r="B427" s="1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17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2:28" ht="13.2" x14ac:dyDescent="0.25">
      <c r="B428" s="1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17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2:28" ht="13.2" x14ac:dyDescent="0.25">
      <c r="B429" s="1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17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2:28" ht="13.2" x14ac:dyDescent="0.25">
      <c r="B430" s="1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17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2:28" ht="13.2" x14ac:dyDescent="0.25">
      <c r="B431" s="1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17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2:28" ht="13.2" x14ac:dyDescent="0.25">
      <c r="B432" s="1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17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2:28" ht="13.2" x14ac:dyDescent="0.25">
      <c r="B433" s="1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17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2:28" ht="13.2" x14ac:dyDescent="0.25">
      <c r="B434" s="1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17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2:28" ht="13.2" x14ac:dyDescent="0.25">
      <c r="B435" s="1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17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2:28" ht="13.2" x14ac:dyDescent="0.25">
      <c r="B436" s="1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17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2:28" ht="13.2" x14ac:dyDescent="0.25">
      <c r="B437" s="1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17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2:28" ht="13.2" x14ac:dyDescent="0.25">
      <c r="B438" s="1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17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2:28" ht="13.2" x14ac:dyDescent="0.25">
      <c r="B439" s="1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17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2:28" ht="13.2" x14ac:dyDescent="0.25">
      <c r="B440" s="1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17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2:28" ht="13.2" x14ac:dyDescent="0.25">
      <c r="B441" s="1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17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2:28" ht="13.2" x14ac:dyDescent="0.25">
      <c r="B442" s="1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17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2:28" ht="13.2" x14ac:dyDescent="0.25">
      <c r="B443" s="1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17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2:28" ht="13.2" x14ac:dyDescent="0.25">
      <c r="B444" s="1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17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2:28" ht="13.2" x14ac:dyDescent="0.25">
      <c r="B445" s="1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17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2:28" ht="13.2" x14ac:dyDescent="0.25">
      <c r="B446" s="1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17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2:28" ht="13.2" x14ac:dyDescent="0.25">
      <c r="B447" s="1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17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2:28" ht="13.2" x14ac:dyDescent="0.25">
      <c r="B448" s="1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17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2:28" ht="13.2" x14ac:dyDescent="0.25">
      <c r="B449" s="1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17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2:28" ht="13.2" x14ac:dyDescent="0.25">
      <c r="B450" s="1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17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2:28" ht="13.2" x14ac:dyDescent="0.25">
      <c r="B451" s="1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17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2:28" ht="13.2" x14ac:dyDescent="0.25">
      <c r="B452" s="1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17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2:28" ht="13.2" x14ac:dyDescent="0.25">
      <c r="B453" s="1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17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2:28" ht="13.2" x14ac:dyDescent="0.25">
      <c r="B454" s="1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17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2:28" ht="13.2" x14ac:dyDescent="0.25">
      <c r="B455" s="1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17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2:28" ht="13.2" x14ac:dyDescent="0.25">
      <c r="B456" s="1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17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2:28" ht="13.2" x14ac:dyDescent="0.25">
      <c r="B457" s="1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17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2:28" ht="13.2" x14ac:dyDescent="0.25">
      <c r="B458" s="1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17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2:28" ht="13.2" x14ac:dyDescent="0.25">
      <c r="B459" s="1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17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2:28" ht="13.2" x14ac:dyDescent="0.25">
      <c r="B460" s="1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17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2:28" ht="13.2" x14ac:dyDescent="0.25">
      <c r="B461" s="1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17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2:28" ht="13.2" x14ac:dyDescent="0.25">
      <c r="B462" s="1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17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2:28" ht="13.2" x14ac:dyDescent="0.25">
      <c r="B463" s="1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17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2:28" ht="13.2" x14ac:dyDescent="0.25">
      <c r="B464" s="1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17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2:28" ht="13.2" x14ac:dyDescent="0.25">
      <c r="B465" s="1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17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2:28" ht="13.2" x14ac:dyDescent="0.25">
      <c r="B466" s="1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17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2:28" ht="13.2" x14ac:dyDescent="0.25">
      <c r="B467" s="1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17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2:28" ht="13.2" x14ac:dyDescent="0.25">
      <c r="B468" s="1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17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2:28" ht="13.2" x14ac:dyDescent="0.25">
      <c r="B469" s="1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17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2:28" ht="13.2" x14ac:dyDescent="0.25">
      <c r="B470" s="1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17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2:28" ht="13.2" x14ac:dyDescent="0.25">
      <c r="B471" s="1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17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2:28" ht="13.2" x14ac:dyDescent="0.25">
      <c r="B472" s="1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17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2:28" ht="13.2" x14ac:dyDescent="0.25">
      <c r="B473" s="1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17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2:28" ht="13.2" x14ac:dyDescent="0.25">
      <c r="B474" s="1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17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2:28" ht="13.2" x14ac:dyDescent="0.25">
      <c r="B475" s="1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17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2:28" ht="13.2" x14ac:dyDescent="0.25">
      <c r="B476" s="1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17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2:28" ht="13.2" x14ac:dyDescent="0.25">
      <c r="B477" s="1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17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2:28" ht="13.2" x14ac:dyDescent="0.25">
      <c r="B478" s="1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17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2:28" ht="13.2" x14ac:dyDescent="0.25">
      <c r="B479" s="1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17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2:28" ht="13.2" x14ac:dyDescent="0.25">
      <c r="B480" s="1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17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2:28" ht="13.2" x14ac:dyDescent="0.25">
      <c r="B481" s="1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17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2:28" ht="13.2" x14ac:dyDescent="0.25">
      <c r="B482" s="1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17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2:28" ht="13.2" x14ac:dyDescent="0.25">
      <c r="B483" s="1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17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2:28" ht="13.2" x14ac:dyDescent="0.25">
      <c r="B484" s="1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17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2:28" ht="13.2" x14ac:dyDescent="0.25">
      <c r="B485" s="1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17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2:28" ht="13.2" x14ac:dyDescent="0.25">
      <c r="B486" s="1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17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2:28" ht="13.2" x14ac:dyDescent="0.25">
      <c r="B487" s="1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17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2:28" ht="13.2" x14ac:dyDescent="0.25">
      <c r="B488" s="1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17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2:28" ht="13.2" x14ac:dyDescent="0.25">
      <c r="B489" s="1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17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2:28" ht="13.2" x14ac:dyDescent="0.25">
      <c r="B490" s="1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17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2:28" ht="13.2" x14ac:dyDescent="0.25">
      <c r="B491" s="1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17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2:28" ht="13.2" x14ac:dyDescent="0.25">
      <c r="B492" s="1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17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2:28" ht="13.2" x14ac:dyDescent="0.25">
      <c r="B493" s="1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17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2:28" ht="13.2" x14ac:dyDescent="0.25">
      <c r="B494" s="1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17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2:28" ht="13.2" x14ac:dyDescent="0.25">
      <c r="B495" s="1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17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2:28" ht="13.2" x14ac:dyDescent="0.25">
      <c r="B496" s="1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17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2:28" ht="13.2" x14ac:dyDescent="0.25">
      <c r="B497" s="1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17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2:28" ht="13.2" x14ac:dyDescent="0.25">
      <c r="B498" s="1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17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2:28" ht="13.2" x14ac:dyDescent="0.25">
      <c r="B499" s="1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17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2:28" ht="13.2" x14ac:dyDescent="0.25">
      <c r="B500" s="1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17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2:28" ht="13.2" x14ac:dyDescent="0.25">
      <c r="B501" s="1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17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2:28" ht="13.2" x14ac:dyDescent="0.25">
      <c r="B502" s="1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17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2:28" ht="13.2" x14ac:dyDescent="0.25">
      <c r="B503" s="1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17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2:28" ht="13.2" x14ac:dyDescent="0.25">
      <c r="B504" s="1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17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2:28" ht="13.2" x14ac:dyDescent="0.25">
      <c r="B505" s="1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17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2:28" ht="13.2" x14ac:dyDescent="0.25">
      <c r="B506" s="1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17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2:28" ht="13.2" x14ac:dyDescent="0.25">
      <c r="B507" s="1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17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2:28" ht="13.2" x14ac:dyDescent="0.25">
      <c r="B508" s="1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17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2:28" ht="13.2" x14ac:dyDescent="0.25">
      <c r="B509" s="1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17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2:28" ht="13.2" x14ac:dyDescent="0.25">
      <c r="B510" s="1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17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2:28" ht="13.2" x14ac:dyDescent="0.25">
      <c r="B511" s="1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17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2:28" ht="13.2" x14ac:dyDescent="0.25">
      <c r="B512" s="1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17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2:28" ht="13.2" x14ac:dyDescent="0.25">
      <c r="B513" s="1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17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2:28" ht="13.2" x14ac:dyDescent="0.25">
      <c r="B514" s="1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17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2:28" ht="13.2" x14ac:dyDescent="0.25">
      <c r="B515" s="1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17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2:28" ht="13.2" x14ac:dyDescent="0.25">
      <c r="B516" s="1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17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2:28" ht="13.2" x14ac:dyDescent="0.25">
      <c r="B517" s="1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17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2:28" ht="13.2" x14ac:dyDescent="0.25">
      <c r="B518" s="1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17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2:28" ht="13.2" x14ac:dyDescent="0.25">
      <c r="B519" s="1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17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2:28" ht="13.2" x14ac:dyDescent="0.25">
      <c r="B520" s="1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17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2:28" ht="13.2" x14ac:dyDescent="0.25">
      <c r="B521" s="1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17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2:28" ht="13.2" x14ac:dyDescent="0.25">
      <c r="B522" s="1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17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2:28" ht="13.2" x14ac:dyDescent="0.25">
      <c r="B523" s="1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17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2:28" ht="13.2" x14ac:dyDescent="0.25">
      <c r="B524" s="1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17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2:28" ht="13.2" x14ac:dyDescent="0.25">
      <c r="B525" s="1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17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2:28" ht="13.2" x14ac:dyDescent="0.25">
      <c r="B526" s="1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17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2:28" ht="13.2" x14ac:dyDescent="0.25">
      <c r="B527" s="1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17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2:28" ht="13.2" x14ac:dyDescent="0.25">
      <c r="B528" s="1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17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2:28" ht="13.2" x14ac:dyDescent="0.25">
      <c r="B529" s="1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17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2:28" ht="13.2" x14ac:dyDescent="0.25">
      <c r="B530" s="1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17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2:28" ht="13.2" x14ac:dyDescent="0.25">
      <c r="B531" s="1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17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2:28" ht="13.2" x14ac:dyDescent="0.25">
      <c r="B532" s="1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17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2:28" ht="13.2" x14ac:dyDescent="0.25">
      <c r="B533" s="1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17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2:28" ht="13.2" x14ac:dyDescent="0.25">
      <c r="B534" s="1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17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2:28" ht="13.2" x14ac:dyDescent="0.25">
      <c r="B535" s="1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17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2:28" ht="13.2" x14ac:dyDescent="0.25">
      <c r="B536" s="1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17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2:28" ht="13.2" x14ac:dyDescent="0.25">
      <c r="B537" s="1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17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2:28" ht="13.2" x14ac:dyDescent="0.25">
      <c r="B538" s="1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17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2:28" ht="13.2" x14ac:dyDescent="0.25">
      <c r="B539" s="1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17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2:28" ht="13.2" x14ac:dyDescent="0.25">
      <c r="B540" s="1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17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2:28" ht="13.2" x14ac:dyDescent="0.25">
      <c r="B541" s="1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17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2:28" ht="13.2" x14ac:dyDescent="0.25">
      <c r="B542" s="1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17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2:28" ht="13.2" x14ac:dyDescent="0.25">
      <c r="B543" s="1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17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2:28" ht="13.2" x14ac:dyDescent="0.25">
      <c r="B544" s="1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17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2:28" ht="13.2" x14ac:dyDescent="0.25">
      <c r="B545" s="1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17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2:28" ht="13.2" x14ac:dyDescent="0.25">
      <c r="B546" s="1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17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2:28" ht="13.2" x14ac:dyDescent="0.25">
      <c r="B547" s="1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17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2:28" ht="13.2" x14ac:dyDescent="0.25">
      <c r="B548" s="1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17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2:28" ht="13.2" x14ac:dyDescent="0.25">
      <c r="B549" s="1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17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2:28" ht="13.2" x14ac:dyDescent="0.25">
      <c r="B550" s="1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17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2:28" ht="13.2" x14ac:dyDescent="0.25">
      <c r="B551" s="1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17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2:28" ht="13.2" x14ac:dyDescent="0.25">
      <c r="B552" s="1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17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2:28" ht="13.2" x14ac:dyDescent="0.25">
      <c r="B553" s="1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17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2:28" ht="13.2" x14ac:dyDescent="0.25">
      <c r="B554" s="1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17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2:28" ht="13.2" x14ac:dyDescent="0.25">
      <c r="B555" s="1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17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2:28" ht="13.2" x14ac:dyDescent="0.25">
      <c r="B556" s="1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17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2:28" ht="13.2" x14ac:dyDescent="0.25">
      <c r="B557" s="1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17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2:28" ht="13.2" x14ac:dyDescent="0.25">
      <c r="B558" s="1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17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2:28" ht="13.2" x14ac:dyDescent="0.25">
      <c r="B559" s="1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17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2:28" ht="13.2" x14ac:dyDescent="0.25">
      <c r="B560" s="1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17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2:28" ht="13.2" x14ac:dyDescent="0.25">
      <c r="B561" s="1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17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2:28" ht="13.2" x14ac:dyDescent="0.25">
      <c r="B562" s="1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17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2:28" ht="13.2" x14ac:dyDescent="0.25">
      <c r="B563" s="1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17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2:28" ht="13.2" x14ac:dyDescent="0.25">
      <c r="B564" s="1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17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2:28" ht="13.2" x14ac:dyDescent="0.25">
      <c r="B565" s="1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17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2:28" ht="13.2" x14ac:dyDescent="0.25">
      <c r="B566" s="1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17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2:28" ht="13.2" x14ac:dyDescent="0.25">
      <c r="B567" s="1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17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2:28" ht="13.2" x14ac:dyDescent="0.25">
      <c r="B568" s="1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17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2:28" ht="13.2" x14ac:dyDescent="0.25">
      <c r="B569" s="1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17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2:28" ht="13.2" x14ac:dyDescent="0.25">
      <c r="B570" s="1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17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2:28" ht="13.2" x14ac:dyDescent="0.25">
      <c r="B571" s="1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17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2:28" ht="13.2" x14ac:dyDescent="0.25">
      <c r="B572" s="1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17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2:28" ht="13.2" x14ac:dyDescent="0.25">
      <c r="B573" s="1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17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2:28" ht="13.2" x14ac:dyDescent="0.25">
      <c r="B574" s="1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17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2:28" ht="13.2" x14ac:dyDescent="0.25">
      <c r="B575" s="1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17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2:28" ht="13.2" x14ac:dyDescent="0.25">
      <c r="B576" s="1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17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2:28" ht="13.2" x14ac:dyDescent="0.25">
      <c r="B577" s="1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17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2:28" ht="13.2" x14ac:dyDescent="0.25">
      <c r="B578" s="1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17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2:28" ht="13.2" x14ac:dyDescent="0.25">
      <c r="B579" s="1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17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2:28" ht="13.2" x14ac:dyDescent="0.25">
      <c r="B580" s="1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17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2:28" ht="13.2" x14ac:dyDescent="0.25">
      <c r="B581" s="1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17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2:28" ht="13.2" x14ac:dyDescent="0.25">
      <c r="B582" s="1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17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2:28" ht="13.2" x14ac:dyDescent="0.25">
      <c r="B583" s="1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17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2:28" ht="13.2" x14ac:dyDescent="0.25">
      <c r="B584" s="1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17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2:28" ht="13.2" x14ac:dyDescent="0.25">
      <c r="B585" s="1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17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2:28" ht="13.2" x14ac:dyDescent="0.25">
      <c r="B586" s="1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17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2:28" ht="13.2" x14ac:dyDescent="0.25">
      <c r="B587" s="1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17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2:28" ht="13.2" x14ac:dyDescent="0.25">
      <c r="B588" s="1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17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2:28" ht="13.2" x14ac:dyDescent="0.25">
      <c r="B589" s="1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17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2:28" ht="13.2" x14ac:dyDescent="0.25">
      <c r="B590" s="1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17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2:28" ht="13.2" x14ac:dyDescent="0.25">
      <c r="B591" s="1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17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2:28" ht="13.2" x14ac:dyDescent="0.25">
      <c r="B592" s="1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17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2:28" ht="13.2" x14ac:dyDescent="0.25">
      <c r="B593" s="1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17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2:28" ht="13.2" x14ac:dyDescent="0.25">
      <c r="B594" s="1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17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2:28" ht="13.2" x14ac:dyDescent="0.25">
      <c r="B595" s="1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17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2:28" ht="13.2" x14ac:dyDescent="0.25">
      <c r="B596" s="1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17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2:28" ht="13.2" x14ac:dyDescent="0.25">
      <c r="B597" s="1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17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2:28" ht="13.2" x14ac:dyDescent="0.25">
      <c r="B598" s="1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17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2:28" ht="13.2" x14ac:dyDescent="0.25">
      <c r="B599" s="1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17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2:28" ht="13.2" x14ac:dyDescent="0.25">
      <c r="B600" s="1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17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2:28" ht="13.2" x14ac:dyDescent="0.25">
      <c r="B601" s="1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17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2:28" ht="13.2" x14ac:dyDescent="0.25">
      <c r="B602" s="1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17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2:28" ht="13.2" x14ac:dyDescent="0.25">
      <c r="B603" s="1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17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2:28" ht="13.2" x14ac:dyDescent="0.25">
      <c r="B604" s="1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17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2:28" ht="13.2" x14ac:dyDescent="0.25">
      <c r="B605" s="1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17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2:28" ht="13.2" x14ac:dyDescent="0.25">
      <c r="B606" s="1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17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2:28" ht="13.2" x14ac:dyDescent="0.25">
      <c r="B607" s="1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17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2:28" ht="13.2" x14ac:dyDescent="0.25">
      <c r="B608" s="1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17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2:28" ht="13.2" x14ac:dyDescent="0.25">
      <c r="B609" s="1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17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2:28" ht="13.2" x14ac:dyDescent="0.25">
      <c r="B610" s="1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17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2:28" ht="13.2" x14ac:dyDescent="0.25">
      <c r="B611" s="1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17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2:28" ht="13.2" x14ac:dyDescent="0.25">
      <c r="B612" s="1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17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2:28" ht="13.2" x14ac:dyDescent="0.25">
      <c r="B613" s="1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17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2:28" ht="13.2" x14ac:dyDescent="0.25">
      <c r="B614" s="1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17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2:28" ht="13.2" x14ac:dyDescent="0.25">
      <c r="B615" s="1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17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2:28" ht="13.2" x14ac:dyDescent="0.25">
      <c r="B616" s="1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17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2:28" ht="13.2" x14ac:dyDescent="0.25">
      <c r="B617" s="1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17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2:28" ht="13.2" x14ac:dyDescent="0.25">
      <c r="B618" s="1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17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2:28" ht="13.2" x14ac:dyDescent="0.25">
      <c r="B619" s="1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17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2:28" ht="13.2" x14ac:dyDescent="0.25">
      <c r="B620" s="1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17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2:28" ht="13.2" x14ac:dyDescent="0.25">
      <c r="B621" s="1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17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2:28" ht="13.2" x14ac:dyDescent="0.25">
      <c r="B622" s="1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17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2:28" ht="13.2" x14ac:dyDescent="0.25">
      <c r="B623" s="1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17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2:28" ht="13.2" x14ac:dyDescent="0.25">
      <c r="B624" s="1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17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2:28" ht="13.2" x14ac:dyDescent="0.25">
      <c r="B625" s="1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17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2:28" ht="13.2" x14ac:dyDescent="0.25">
      <c r="B626" s="1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17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2:28" ht="13.2" x14ac:dyDescent="0.25">
      <c r="B627" s="1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17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2:28" ht="13.2" x14ac:dyDescent="0.25">
      <c r="B628" s="1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17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2:28" ht="13.2" x14ac:dyDescent="0.25">
      <c r="B629" s="1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17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2:28" ht="13.2" x14ac:dyDescent="0.25">
      <c r="B630" s="1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17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2:28" ht="13.2" x14ac:dyDescent="0.25">
      <c r="B631" s="1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17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2:28" ht="13.2" x14ac:dyDescent="0.25">
      <c r="B632" s="1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17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2:28" ht="13.2" x14ac:dyDescent="0.25">
      <c r="B633" s="1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17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2:28" ht="13.2" x14ac:dyDescent="0.25">
      <c r="B634" s="1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17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2:28" ht="13.2" x14ac:dyDescent="0.25">
      <c r="B635" s="1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17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2:28" ht="13.2" x14ac:dyDescent="0.25">
      <c r="B636" s="1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17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2:28" ht="13.2" x14ac:dyDescent="0.25">
      <c r="B637" s="1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17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2:28" ht="13.2" x14ac:dyDescent="0.25">
      <c r="B638" s="1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17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2:28" ht="13.2" x14ac:dyDescent="0.25">
      <c r="B639" s="1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17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2:28" ht="13.2" x14ac:dyDescent="0.25">
      <c r="B640" s="1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17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2:28" ht="13.2" x14ac:dyDescent="0.25">
      <c r="B641" s="1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17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2:28" ht="13.2" x14ac:dyDescent="0.25">
      <c r="B642" s="1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17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2:28" ht="13.2" x14ac:dyDescent="0.25">
      <c r="B643" s="1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17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2:28" ht="13.2" x14ac:dyDescent="0.25">
      <c r="B644" s="1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17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2:28" ht="13.2" x14ac:dyDescent="0.25">
      <c r="B645" s="1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17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2:28" ht="13.2" x14ac:dyDescent="0.25">
      <c r="B646" s="1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17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2:28" ht="13.2" x14ac:dyDescent="0.25">
      <c r="B647" s="1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17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2:28" ht="13.2" x14ac:dyDescent="0.25">
      <c r="B648" s="1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17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2:28" ht="13.2" x14ac:dyDescent="0.25">
      <c r="B649" s="1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17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2:28" ht="13.2" x14ac:dyDescent="0.25">
      <c r="B650" s="1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17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2:28" ht="13.2" x14ac:dyDescent="0.25">
      <c r="B651" s="1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17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2:28" ht="13.2" x14ac:dyDescent="0.25">
      <c r="B652" s="1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17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2:28" ht="13.2" x14ac:dyDescent="0.25">
      <c r="B653" s="1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17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2:28" ht="13.2" x14ac:dyDescent="0.25">
      <c r="B654" s="1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17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2:28" ht="13.2" x14ac:dyDescent="0.25">
      <c r="B655" s="1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17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2:28" ht="13.2" x14ac:dyDescent="0.25">
      <c r="B656" s="1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17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2:28" ht="13.2" x14ac:dyDescent="0.25">
      <c r="B657" s="1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17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2:28" ht="13.2" x14ac:dyDescent="0.25">
      <c r="B658" s="1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17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2:28" ht="13.2" x14ac:dyDescent="0.25">
      <c r="B659" s="1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17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2:28" ht="13.2" x14ac:dyDescent="0.25">
      <c r="B660" s="1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17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2:28" ht="13.2" x14ac:dyDescent="0.25">
      <c r="B661" s="1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17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2:28" ht="13.2" x14ac:dyDescent="0.25">
      <c r="B662" s="1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17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2:28" ht="13.2" x14ac:dyDescent="0.25">
      <c r="B663" s="1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17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2:28" ht="13.2" x14ac:dyDescent="0.25">
      <c r="B664" s="1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17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2:28" ht="13.2" x14ac:dyDescent="0.25">
      <c r="B665" s="1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17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2:28" ht="13.2" x14ac:dyDescent="0.25">
      <c r="B666" s="1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17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2:28" ht="13.2" x14ac:dyDescent="0.25">
      <c r="B667" s="1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17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2:28" ht="13.2" x14ac:dyDescent="0.25">
      <c r="B668" s="1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17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2:28" ht="13.2" x14ac:dyDescent="0.25">
      <c r="B669" s="1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17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2:28" ht="13.2" x14ac:dyDescent="0.25">
      <c r="B670" s="1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17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2:28" ht="13.2" x14ac:dyDescent="0.25">
      <c r="B671" s="1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17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2:28" ht="13.2" x14ac:dyDescent="0.25">
      <c r="B672" s="1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17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2:28" ht="13.2" x14ac:dyDescent="0.25">
      <c r="B673" s="1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17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2:28" ht="13.2" x14ac:dyDescent="0.25">
      <c r="B674" s="1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17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2:28" ht="13.2" x14ac:dyDescent="0.25">
      <c r="B675" s="1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17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2:28" ht="13.2" x14ac:dyDescent="0.25">
      <c r="B676" s="1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17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2:28" ht="13.2" x14ac:dyDescent="0.25">
      <c r="B677" s="1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17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2:28" ht="13.2" x14ac:dyDescent="0.25">
      <c r="B678" s="1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17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2:28" ht="13.2" x14ac:dyDescent="0.25">
      <c r="B679" s="1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17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2:28" ht="13.2" x14ac:dyDescent="0.25">
      <c r="B680" s="1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17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2:28" ht="13.2" x14ac:dyDescent="0.25">
      <c r="B681" s="1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17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2:28" ht="13.2" x14ac:dyDescent="0.25">
      <c r="B682" s="1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17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2:28" ht="13.2" x14ac:dyDescent="0.25">
      <c r="B683" s="1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17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2:28" ht="13.2" x14ac:dyDescent="0.25">
      <c r="B684" s="1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17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2:28" ht="13.2" x14ac:dyDescent="0.25">
      <c r="B685" s="1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17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2:28" ht="13.2" x14ac:dyDescent="0.25">
      <c r="B686" s="1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17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2:28" ht="13.2" x14ac:dyDescent="0.25">
      <c r="B687" s="1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17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2:28" ht="13.2" x14ac:dyDescent="0.25">
      <c r="B688" s="1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17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2:28" ht="13.2" x14ac:dyDescent="0.25">
      <c r="B689" s="1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17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2:28" ht="13.2" x14ac:dyDescent="0.25">
      <c r="B690" s="1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17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2:28" ht="13.2" x14ac:dyDescent="0.25">
      <c r="B691" s="1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17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2:28" ht="13.2" x14ac:dyDescent="0.25">
      <c r="B692" s="1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17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2:28" ht="13.2" x14ac:dyDescent="0.25">
      <c r="B693" s="1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17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2:28" ht="13.2" x14ac:dyDescent="0.25">
      <c r="B694" s="1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17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2:28" ht="13.2" x14ac:dyDescent="0.25">
      <c r="B695" s="1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17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2:28" ht="13.2" x14ac:dyDescent="0.25">
      <c r="B696" s="1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17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2:28" ht="13.2" x14ac:dyDescent="0.25">
      <c r="B697" s="1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17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2:28" ht="13.2" x14ac:dyDescent="0.25">
      <c r="B698" s="1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17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2:28" ht="13.2" x14ac:dyDescent="0.25">
      <c r="B699" s="1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17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2:28" ht="13.2" x14ac:dyDescent="0.25">
      <c r="B700" s="1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17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2:28" ht="13.2" x14ac:dyDescent="0.25">
      <c r="B701" s="1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17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2:28" ht="13.2" x14ac:dyDescent="0.25">
      <c r="B702" s="1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17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2:28" ht="13.2" x14ac:dyDescent="0.25">
      <c r="B703" s="1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17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2:28" ht="13.2" x14ac:dyDescent="0.25">
      <c r="B704" s="1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17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2:28" ht="13.2" x14ac:dyDescent="0.25">
      <c r="B705" s="1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17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2:28" ht="13.2" x14ac:dyDescent="0.25">
      <c r="B706" s="1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17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2:28" ht="13.2" x14ac:dyDescent="0.25">
      <c r="B707" s="1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17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2:28" ht="13.2" x14ac:dyDescent="0.25">
      <c r="B708" s="1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17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2:28" ht="13.2" x14ac:dyDescent="0.25">
      <c r="B709" s="1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17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2:28" ht="13.2" x14ac:dyDescent="0.25">
      <c r="B710" s="1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17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2:28" ht="13.2" x14ac:dyDescent="0.25">
      <c r="B711" s="1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17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2:28" ht="13.2" x14ac:dyDescent="0.25">
      <c r="B712" s="1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17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2:28" ht="13.2" x14ac:dyDescent="0.25">
      <c r="B713" s="1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17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2:28" ht="13.2" x14ac:dyDescent="0.25">
      <c r="B714" s="1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17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2:28" ht="13.2" x14ac:dyDescent="0.25">
      <c r="B715" s="1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17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2:28" ht="13.2" x14ac:dyDescent="0.25">
      <c r="B716" s="1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17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2:28" ht="13.2" x14ac:dyDescent="0.25">
      <c r="B717" s="1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17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2:28" ht="13.2" x14ac:dyDescent="0.25">
      <c r="B718" s="1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17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2:28" ht="13.2" x14ac:dyDescent="0.25">
      <c r="B719" s="1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17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2:28" ht="13.2" x14ac:dyDescent="0.25">
      <c r="B720" s="1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17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2:28" ht="13.2" x14ac:dyDescent="0.25">
      <c r="B721" s="1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17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2:28" ht="13.2" x14ac:dyDescent="0.25">
      <c r="B722" s="1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17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2:28" ht="13.2" x14ac:dyDescent="0.25">
      <c r="B723" s="1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17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2:28" ht="13.2" x14ac:dyDescent="0.25">
      <c r="B724" s="1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17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2:28" ht="13.2" x14ac:dyDescent="0.25">
      <c r="B725" s="1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17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2:28" ht="13.2" x14ac:dyDescent="0.25">
      <c r="B726" s="1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17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2:28" ht="13.2" x14ac:dyDescent="0.25">
      <c r="B727" s="1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17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2:28" ht="13.2" x14ac:dyDescent="0.25">
      <c r="B728" s="1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17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2:28" ht="13.2" x14ac:dyDescent="0.25">
      <c r="B729" s="1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17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2:28" ht="13.2" x14ac:dyDescent="0.25">
      <c r="B730" s="1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17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2:28" ht="13.2" x14ac:dyDescent="0.25">
      <c r="B731" s="1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17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2:28" ht="13.2" x14ac:dyDescent="0.25">
      <c r="B732" s="1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17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2:28" ht="13.2" x14ac:dyDescent="0.25">
      <c r="B733" s="1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17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2:28" ht="13.2" x14ac:dyDescent="0.25">
      <c r="B734" s="1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17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2:28" ht="13.2" x14ac:dyDescent="0.25">
      <c r="B735" s="1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17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2:28" ht="13.2" x14ac:dyDescent="0.25">
      <c r="B736" s="1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17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2:28" ht="13.2" x14ac:dyDescent="0.25">
      <c r="B737" s="1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17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2:28" ht="13.2" x14ac:dyDescent="0.25">
      <c r="B738" s="1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17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2:28" ht="13.2" x14ac:dyDescent="0.25">
      <c r="B739" s="1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17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2:28" ht="13.2" x14ac:dyDescent="0.25">
      <c r="B740" s="1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17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2:28" ht="13.2" x14ac:dyDescent="0.25">
      <c r="B741" s="1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17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2:28" ht="13.2" x14ac:dyDescent="0.25">
      <c r="B742" s="1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17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2:28" ht="13.2" x14ac:dyDescent="0.25">
      <c r="B743" s="1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17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2:28" ht="13.2" x14ac:dyDescent="0.25">
      <c r="B744" s="1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17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2:28" ht="13.2" x14ac:dyDescent="0.25">
      <c r="B745" s="1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17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2:28" ht="13.2" x14ac:dyDescent="0.25">
      <c r="B746" s="1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17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2:28" ht="13.2" x14ac:dyDescent="0.25">
      <c r="B747" s="1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17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2:28" ht="13.2" x14ac:dyDescent="0.25">
      <c r="B748" s="1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17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2:28" ht="13.2" x14ac:dyDescent="0.25">
      <c r="B749" s="1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17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2:28" ht="13.2" x14ac:dyDescent="0.25">
      <c r="B750" s="1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17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2:28" ht="13.2" x14ac:dyDescent="0.25">
      <c r="B751" s="1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17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2:28" ht="13.2" x14ac:dyDescent="0.25">
      <c r="B752" s="1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17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2:28" ht="13.2" x14ac:dyDescent="0.25">
      <c r="B753" s="1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17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2:28" ht="13.2" x14ac:dyDescent="0.25">
      <c r="B754" s="1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17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2:28" ht="13.2" x14ac:dyDescent="0.25">
      <c r="B755" s="1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17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2:28" ht="13.2" x14ac:dyDescent="0.25">
      <c r="B756" s="1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17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2:28" ht="13.2" x14ac:dyDescent="0.25">
      <c r="B757" s="1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17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2:28" ht="13.2" x14ac:dyDescent="0.25">
      <c r="B758" s="1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17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2:28" ht="13.2" x14ac:dyDescent="0.25">
      <c r="B759" s="1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17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2:28" ht="13.2" x14ac:dyDescent="0.25">
      <c r="B760" s="1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17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2:28" ht="13.2" x14ac:dyDescent="0.25">
      <c r="B761" s="1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17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2:28" ht="13.2" x14ac:dyDescent="0.25">
      <c r="B762" s="1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17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2:28" ht="13.2" x14ac:dyDescent="0.25">
      <c r="B763" s="1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17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2:28" ht="13.2" x14ac:dyDescent="0.25">
      <c r="B764" s="1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17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2:28" ht="13.2" x14ac:dyDescent="0.25">
      <c r="B765" s="1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17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2:28" ht="13.2" x14ac:dyDescent="0.25">
      <c r="B766" s="1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17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2:28" ht="13.2" x14ac:dyDescent="0.25">
      <c r="B767" s="1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17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2:28" ht="13.2" x14ac:dyDescent="0.25">
      <c r="B768" s="1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17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2:28" ht="13.2" x14ac:dyDescent="0.25">
      <c r="B769" s="1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17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2:28" ht="13.2" x14ac:dyDescent="0.25">
      <c r="B770" s="1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17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2:28" ht="13.2" x14ac:dyDescent="0.25">
      <c r="B771" s="1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17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2:28" ht="13.2" x14ac:dyDescent="0.25">
      <c r="B772" s="1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17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2:28" ht="13.2" x14ac:dyDescent="0.25">
      <c r="B773" s="1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17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2:28" ht="13.2" x14ac:dyDescent="0.25">
      <c r="B774" s="1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17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2:28" ht="13.2" x14ac:dyDescent="0.25">
      <c r="B775" s="1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17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2:28" ht="13.2" x14ac:dyDescent="0.25">
      <c r="B776" s="1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17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2:28" ht="13.2" x14ac:dyDescent="0.25">
      <c r="B777" s="1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17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2:28" ht="13.2" x14ac:dyDescent="0.25">
      <c r="B778" s="1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17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2:28" ht="13.2" x14ac:dyDescent="0.25">
      <c r="B779" s="1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17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2:28" ht="13.2" x14ac:dyDescent="0.25">
      <c r="B780" s="1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17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2:28" ht="13.2" x14ac:dyDescent="0.25">
      <c r="B781" s="1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17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2:28" ht="13.2" x14ac:dyDescent="0.25">
      <c r="B782" s="1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17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2:28" ht="13.2" x14ac:dyDescent="0.25">
      <c r="B783" s="1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17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2:28" ht="13.2" x14ac:dyDescent="0.25">
      <c r="B784" s="1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17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2:28" ht="13.2" x14ac:dyDescent="0.25">
      <c r="B785" s="1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17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2:28" ht="13.2" x14ac:dyDescent="0.25">
      <c r="B786" s="1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17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2:28" ht="13.2" x14ac:dyDescent="0.25">
      <c r="B787" s="1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17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2:28" ht="13.2" x14ac:dyDescent="0.25">
      <c r="B788" s="1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17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2:28" ht="13.2" x14ac:dyDescent="0.25">
      <c r="B789" s="1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17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2:28" ht="13.2" x14ac:dyDescent="0.25">
      <c r="B790" s="1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17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2:28" ht="13.2" x14ac:dyDescent="0.25">
      <c r="B791" s="1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17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2:28" ht="13.2" x14ac:dyDescent="0.25">
      <c r="B792" s="1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17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2:28" ht="13.2" x14ac:dyDescent="0.25">
      <c r="B793" s="1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17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2:28" ht="13.2" x14ac:dyDescent="0.25">
      <c r="B794" s="1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17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2:28" ht="13.2" x14ac:dyDescent="0.25">
      <c r="B795" s="1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17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2:28" ht="13.2" x14ac:dyDescent="0.25">
      <c r="B796" s="1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17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2:28" ht="13.2" x14ac:dyDescent="0.25">
      <c r="B797" s="1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17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2:28" ht="13.2" x14ac:dyDescent="0.25">
      <c r="B798" s="1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17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2:28" ht="13.2" x14ac:dyDescent="0.25">
      <c r="B799" s="1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17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2:28" ht="13.2" x14ac:dyDescent="0.25">
      <c r="B800" s="1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17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2:28" ht="13.2" x14ac:dyDescent="0.25">
      <c r="B801" s="1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17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2:28" ht="13.2" x14ac:dyDescent="0.25">
      <c r="B802" s="1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17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2:28" ht="13.2" x14ac:dyDescent="0.25">
      <c r="B803" s="1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17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2:28" ht="13.2" x14ac:dyDescent="0.25">
      <c r="B804" s="1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17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2:28" ht="13.2" x14ac:dyDescent="0.25">
      <c r="B805" s="1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17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2:28" ht="13.2" x14ac:dyDescent="0.25">
      <c r="B806" s="1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17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2:28" ht="13.2" x14ac:dyDescent="0.25">
      <c r="B807" s="1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17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2:28" ht="13.2" x14ac:dyDescent="0.25">
      <c r="B808" s="1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17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2:28" ht="13.2" x14ac:dyDescent="0.25">
      <c r="B809" s="1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17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2:28" ht="13.2" x14ac:dyDescent="0.25">
      <c r="B810" s="1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17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2:28" ht="13.2" x14ac:dyDescent="0.25">
      <c r="B811" s="1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17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2:28" ht="13.2" x14ac:dyDescent="0.25">
      <c r="B812" s="1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17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2:28" ht="13.2" x14ac:dyDescent="0.25">
      <c r="B813" s="1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17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2:28" ht="13.2" x14ac:dyDescent="0.25">
      <c r="B814" s="1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17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2:28" ht="13.2" x14ac:dyDescent="0.25">
      <c r="B815" s="1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17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2:28" ht="13.2" x14ac:dyDescent="0.25">
      <c r="B816" s="1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17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2:28" ht="13.2" x14ac:dyDescent="0.25">
      <c r="B817" s="1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17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2:28" ht="13.2" x14ac:dyDescent="0.25">
      <c r="B818" s="1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17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2:28" ht="13.2" x14ac:dyDescent="0.25">
      <c r="B819" s="1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17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2:28" ht="13.2" x14ac:dyDescent="0.25">
      <c r="B820" s="1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17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2:28" ht="13.2" x14ac:dyDescent="0.25">
      <c r="B821" s="1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17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2:28" ht="13.2" x14ac:dyDescent="0.25">
      <c r="B822" s="1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17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2:28" ht="13.2" x14ac:dyDescent="0.25">
      <c r="B823" s="1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17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2:28" ht="13.2" x14ac:dyDescent="0.25">
      <c r="B824" s="1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17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2:28" ht="13.2" x14ac:dyDescent="0.25">
      <c r="B825" s="1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17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2:28" ht="13.2" x14ac:dyDescent="0.25">
      <c r="B826" s="1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17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2:28" ht="13.2" x14ac:dyDescent="0.25">
      <c r="B827" s="1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17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2:28" ht="13.2" x14ac:dyDescent="0.25">
      <c r="B828" s="1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17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2:28" ht="13.2" x14ac:dyDescent="0.25">
      <c r="B829" s="1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17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2:28" ht="13.2" x14ac:dyDescent="0.25">
      <c r="B830" s="1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17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2:28" ht="13.2" x14ac:dyDescent="0.25">
      <c r="B831" s="1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17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2:28" ht="13.2" x14ac:dyDescent="0.25">
      <c r="B832" s="1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17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2:28" ht="13.2" x14ac:dyDescent="0.25">
      <c r="B833" s="1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17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2:28" ht="13.2" x14ac:dyDescent="0.25">
      <c r="B834" s="1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17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2:28" ht="13.2" x14ac:dyDescent="0.25">
      <c r="B835" s="1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17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2:28" ht="13.2" x14ac:dyDescent="0.25">
      <c r="B836" s="1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17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2:28" ht="13.2" x14ac:dyDescent="0.25">
      <c r="B837" s="1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17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2:28" ht="13.2" x14ac:dyDescent="0.25">
      <c r="B838" s="1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17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2:28" ht="13.2" x14ac:dyDescent="0.25">
      <c r="B839" s="1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17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2:28" ht="13.2" x14ac:dyDescent="0.25">
      <c r="B840" s="1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17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2:28" ht="13.2" x14ac:dyDescent="0.25">
      <c r="B841" s="1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17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2:28" ht="13.2" x14ac:dyDescent="0.25">
      <c r="B842" s="1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17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2:28" ht="13.2" x14ac:dyDescent="0.25">
      <c r="B843" s="1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17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2:28" ht="13.2" x14ac:dyDescent="0.25">
      <c r="B844" s="1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17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2:28" ht="13.2" x14ac:dyDescent="0.25">
      <c r="B845" s="1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17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2:28" ht="13.2" x14ac:dyDescent="0.25">
      <c r="B846" s="1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17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2:28" ht="13.2" x14ac:dyDescent="0.25">
      <c r="B847" s="1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17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2:28" ht="13.2" x14ac:dyDescent="0.25">
      <c r="B848" s="1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17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2:28" ht="13.2" x14ac:dyDescent="0.25">
      <c r="B849" s="1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17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2:28" ht="13.2" x14ac:dyDescent="0.25">
      <c r="B850" s="1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17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2:28" ht="13.2" x14ac:dyDescent="0.25">
      <c r="B851" s="1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17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2:28" ht="13.2" x14ac:dyDescent="0.25">
      <c r="B852" s="1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17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2:28" ht="13.2" x14ac:dyDescent="0.25">
      <c r="B853" s="1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17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2:28" ht="13.2" x14ac:dyDescent="0.25">
      <c r="B854" s="1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17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2:28" ht="13.2" x14ac:dyDescent="0.25">
      <c r="B855" s="1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17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2:28" ht="13.2" x14ac:dyDescent="0.25">
      <c r="B856" s="1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17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2:28" ht="13.2" x14ac:dyDescent="0.25">
      <c r="B857" s="1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17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2:28" ht="13.2" x14ac:dyDescent="0.25">
      <c r="B858" s="1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17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2:28" ht="13.2" x14ac:dyDescent="0.25">
      <c r="B859" s="1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17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2:28" ht="13.2" x14ac:dyDescent="0.25">
      <c r="B860" s="1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17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2:28" ht="13.2" x14ac:dyDescent="0.25">
      <c r="B861" s="1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17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2:28" ht="13.2" x14ac:dyDescent="0.25">
      <c r="B862" s="1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17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2:28" ht="13.2" x14ac:dyDescent="0.25">
      <c r="B863" s="1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17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2:28" ht="13.2" x14ac:dyDescent="0.25">
      <c r="B864" s="1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17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2:28" ht="13.2" x14ac:dyDescent="0.25">
      <c r="B865" s="1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17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2:28" ht="13.2" x14ac:dyDescent="0.25">
      <c r="B866" s="1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17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2:28" ht="13.2" x14ac:dyDescent="0.25">
      <c r="B867" s="1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17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2:28" ht="13.2" x14ac:dyDescent="0.25">
      <c r="B868" s="1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17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2:28" ht="13.2" x14ac:dyDescent="0.25">
      <c r="B869" s="1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17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2:28" ht="13.2" x14ac:dyDescent="0.25">
      <c r="B870" s="1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17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2:28" ht="13.2" x14ac:dyDescent="0.25">
      <c r="B871" s="1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17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2:28" ht="13.2" x14ac:dyDescent="0.25">
      <c r="B872" s="1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17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2:28" ht="13.2" x14ac:dyDescent="0.25">
      <c r="B873" s="1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17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2:28" ht="13.2" x14ac:dyDescent="0.25">
      <c r="B874" s="1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17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2:28" ht="13.2" x14ac:dyDescent="0.25">
      <c r="B875" s="1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17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spans="2:28" ht="13.2" x14ac:dyDescent="0.25">
      <c r="B876" s="1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17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spans="2:28" ht="13.2" x14ac:dyDescent="0.25">
      <c r="B877" s="1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17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spans="2:28" ht="13.2" x14ac:dyDescent="0.25">
      <c r="B878" s="1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17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spans="2:28" ht="13.2" x14ac:dyDescent="0.25">
      <c r="B879" s="1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17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spans="2:28" ht="13.2" x14ac:dyDescent="0.25">
      <c r="B880" s="1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17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spans="2:28" ht="13.2" x14ac:dyDescent="0.25">
      <c r="B881" s="1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17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spans="2:28" ht="13.2" x14ac:dyDescent="0.25">
      <c r="B882" s="1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17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2:28" ht="13.2" x14ac:dyDescent="0.25">
      <c r="B883" s="1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17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2:28" ht="13.2" x14ac:dyDescent="0.25">
      <c r="B884" s="1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17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spans="2:28" ht="13.2" x14ac:dyDescent="0.25">
      <c r="B885" s="1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17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spans="2:28" ht="13.2" x14ac:dyDescent="0.25">
      <c r="B886" s="1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17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spans="2:28" ht="13.2" x14ac:dyDescent="0.25">
      <c r="B887" s="1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17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spans="2:28" ht="13.2" x14ac:dyDescent="0.25">
      <c r="B888" s="1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17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spans="2:28" ht="13.2" x14ac:dyDescent="0.25">
      <c r="B889" s="1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17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spans="2:28" ht="13.2" x14ac:dyDescent="0.25">
      <c r="B890" s="1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17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spans="2:28" ht="13.2" x14ac:dyDescent="0.25">
      <c r="B891" s="1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17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spans="2:28" ht="13.2" x14ac:dyDescent="0.25">
      <c r="B892" s="1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17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spans="2:28" ht="13.2" x14ac:dyDescent="0.25">
      <c r="B893" s="1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17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spans="2:28" ht="13.2" x14ac:dyDescent="0.25">
      <c r="B894" s="1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17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spans="2:28" ht="13.2" x14ac:dyDescent="0.25">
      <c r="B895" s="1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17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spans="2:28" ht="13.2" x14ac:dyDescent="0.25">
      <c r="B896" s="1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17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spans="2:28" ht="13.2" x14ac:dyDescent="0.25">
      <c r="B897" s="1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17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spans="2:28" ht="13.2" x14ac:dyDescent="0.25">
      <c r="B898" s="1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17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spans="2:28" ht="13.2" x14ac:dyDescent="0.25">
      <c r="B899" s="1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17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spans="2:28" ht="13.2" x14ac:dyDescent="0.25">
      <c r="B900" s="1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17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spans="2:28" ht="13.2" x14ac:dyDescent="0.25">
      <c r="B901" s="1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17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spans="2:28" ht="13.2" x14ac:dyDescent="0.25">
      <c r="B902" s="1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17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spans="2:28" ht="13.2" x14ac:dyDescent="0.25">
      <c r="B903" s="1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17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spans="2:28" ht="13.2" x14ac:dyDescent="0.25">
      <c r="B904" s="1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17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spans="2:28" ht="13.2" x14ac:dyDescent="0.25">
      <c r="B905" s="1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17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spans="2:28" ht="13.2" x14ac:dyDescent="0.25">
      <c r="B906" s="1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17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spans="2:28" ht="13.2" x14ac:dyDescent="0.25">
      <c r="B907" s="1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17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spans="2:28" ht="13.2" x14ac:dyDescent="0.25">
      <c r="B908" s="1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17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2:28" ht="13.2" x14ac:dyDescent="0.25">
      <c r="B909" s="1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17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spans="2:28" ht="13.2" x14ac:dyDescent="0.25">
      <c r="B910" s="1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17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spans="2:28" ht="13.2" x14ac:dyDescent="0.25">
      <c r="B911" s="1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17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spans="2:28" ht="13.2" x14ac:dyDescent="0.25">
      <c r="B912" s="1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17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spans="2:28" ht="13.2" x14ac:dyDescent="0.25">
      <c r="B913" s="1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17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spans="2:28" ht="13.2" x14ac:dyDescent="0.25">
      <c r="B914" s="1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17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spans="2:28" ht="13.2" x14ac:dyDescent="0.25">
      <c r="B915" s="1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17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spans="2:28" ht="13.2" x14ac:dyDescent="0.25">
      <c r="B916" s="1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17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spans="2:28" ht="13.2" x14ac:dyDescent="0.25">
      <c r="B917" s="1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17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spans="2:28" ht="13.2" x14ac:dyDescent="0.25">
      <c r="B918" s="1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17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spans="2:28" ht="13.2" x14ac:dyDescent="0.25">
      <c r="B919" s="1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17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spans="2:28" ht="13.2" x14ac:dyDescent="0.25">
      <c r="B920" s="1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17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spans="2:28" ht="13.2" x14ac:dyDescent="0.25">
      <c r="B921" s="1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17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spans="2:28" ht="13.2" x14ac:dyDescent="0.25">
      <c r="B922" s="1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17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spans="2:28" ht="13.2" x14ac:dyDescent="0.25">
      <c r="B923" s="1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17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spans="2:28" ht="13.2" x14ac:dyDescent="0.25">
      <c r="B924" s="1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17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spans="2:28" ht="13.2" x14ac:dyDescent="0.25">
      <c r="B925" s="1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17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spans="2:28" ht="13.2" x14ac:dyDescent="0.25">
      <c r="B926" s="1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17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spans="2:28" ht="13.2" x14ac:dyDescent="0.25">
      <c r="B927" s="1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17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spans="2:28" ht="13.2" x14ac:dyDescent="0.25">
      <c r="B928" s="1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17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spans="2:28" ht="13.2" x14ac:dyDescent="0.25">
      <c r="B929" s="1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17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spans="2:28" ht="13.2" x14ac:dyDescent="0.25">
      <c r="B930" s="1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17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spans="2:28" ht="13.2" x14ac:dyDescent="0.25">
      <c r="B931" s="1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17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spans="2:28" ht="13.2" x14ac:dyDescent="0.25">
      <c r="B932" s="1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17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spans="2:28" ht="13.2" x14ac:dyDescent="0.25">
      <c r="B933" s="1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17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spans="2:28" ht="13.2" x14ac:dyDescent="0.25">
      <c r="B934" s="1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17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spans="2:28" ht="13.2" x14ac:dyDescent="0.25">
      <c r="B935" s="1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17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spans="2:28" ht="13.2" x14ac:dyDescent="0.25">
      <c r="B936" s="1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17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 spans="2:28" ht="13.2" x14ac:dyDescent="0.25">
      <c r="B937" s="1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17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 spans="2:28" ht="13.2" x14ac:dyDescent="0.25">
      <c r="B938" s="1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17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 spans="2:28" ht="13.2" x14ac:dyDescent="0.25">
      <c r="B939" s="1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17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 spans="2:28" ht="13.2" x14ac:dyDescent="0.25">
      <c r="B940" s="1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17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 spans="2:28" ht="13.2" x14ac:dyDescent="0.25">
      <c r="B941" s="1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17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 spans="2:28" ht="13.2" x14ac:dyDescent="0.25">
      <c r="B942" s="1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17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  <row r="943" spans="2:28" ht="13.2" x14ac:dyDescent="0.25">
      <c r="B943" s="1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17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</row>
    <row r="944" spans="2:28" ht="13.2" x14ac:dyDescent="0.25">
      <c r="B944" s="1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17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</row>
    <row r="945" spans="2:28" ht="13.2" x14ac:dyDescent="0.25">
      <c r="B945" s="1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17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</row>
    <row r="946" spans="2:28" ht="13.2" x14ac:dyDescent="0.25">
      <c r="B946" s="1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17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</row>
    <row r="947" spans="2:28" ht="13.2" x14ac:dyDescent="0.25">
      <c r="B947" s="1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17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</row>
    <row r="948" spans="2:28" ht="13.2" x14ac:dyDescent="0.25">
      <c r="B948" s="1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17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</row>
    <row r="949" spans="2:28" ht="13.2" x14ac:dyDescent="0.25">
      <c r="B949" s="1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17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</row>
    <row r="950" spans="2:28" ht="13.2" x14ac:dyDescent="0.25">
      <c r="B950" s="1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17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</row>
    <row r="951" spans="2:28" ht="13.2" x14ac:dyDescent="0.25">
      <c r="B951" s="1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17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</row>
    <row r="952" spans="2:28" ht="13.2" x14ac:dyDescent="0.25">
      <c r="B952" s="1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17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</row>
    <row r="953" spans="2:28" ht="13.2" x14ac:dyDescent="0.25">
      <c r="B953" s="1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17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</row>
    <row r="954" spans="2:28" ht="13.2" x14ac:dyDescent="0.25">
      <c r="B954" s="1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17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</row>
    <row r="955" spans="2:28" ht="13.2" x14ac:dyDescent="0.25">
      <c r="B955" s="1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17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</row>
    <row r="956" spans="2:28" ht="13.2" x14ac:dyDescent="0.25">
      <c r="B956" s="1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17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</row>
    <row r="957" spans="2:28" ht="13.2" x14ac:dyDescent="0.25">
      <c r="B957" s="1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17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</row>
    <row r="958" spans="2:28" ht="13.2" x14ac:dyDescent="0.25">
      <c r="B958" s="1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17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</row>
    <row r="959" spans="2:28" ht="13.2" x14ac:dyDescent="0.25">
      <c r="B959" s="1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17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</row>
    <row r="960" spans="2:28" ht="13.2" x14ac:dyDescent="0.25">
      <c r="B960" s="1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17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</row>
    <row r="961" spans="2:28" ht="13.2" x14ac:dyDescent="0.25">
      <c r="B961" s="1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17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</row>
    <row r="962" spans="2:28" ht="13.2" x14ac:dyDescent="0.25">
      <c r="B962" s="1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17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</row>
    <row r="963" spans="2:28" ht="13.2" x14ac:dyDescent="0.25">
      <c r="B963" s="1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17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</row>
    <row r="964" spans="2:28" ht="13.2" x14ac:dyDescent="0.25">
      <c r="B964" s="1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17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</row>
    <row r="965" spans="2:28" ht="13.2" x14ac:dyDescent="0.25">
      <c r="B965" s="1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17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</row>
    <row r="966" spans="2:28" ht="13.2" x14ac:dyDescent="0.25">
      <c r="B966" s="1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17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</row>
    <row r="967" spans="2:28" ht="13.2" x14ac:dyDescent="0.25">
      <c r="B967" s="1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17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</row>
    <row r="968" spans="2:28" ht="13.2" x14ac:dyDescent="0.25">
      <c r="B968" s="1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17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</row>
    <row r="969" spans="2:28" ht="13.2" x14ac:dyDescent="0.25">
      <c r="B969" s="1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17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</row>
    <row r="970" spans="2:28" ht="13.2" x14ac:dyDescent="0.25">
      <c r="B970" s="1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17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</row>
    <row r="971" spans="2:28" ht="13.2" x14ac:dyDescent="0.25">
      <c r="B971" s="1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17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</row>
    <row r="972" spans="2:28" ht="13.2" x14ac:dyDescent="0.25">
      <c r="B972" s="1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17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</row>
    <row r="973" spans="2:28" ht="13.2" x14ac:dyDescent="0.25">
      <c r="B973" s="1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17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</row>
    <row r="974" spans="2:28" ht="13.2" x14ac:dyDescent="0.25">
      <c r="B974" s="1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17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</row>
    <row r="975" spans="2:28" ht="13.2" x14ac:dyDescent="0.25">
      <c r="B975" s="1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17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</row>
    <row r="976" spans="2:28" ht="13.2" x14ac:dyDescent="0.25">
      <c r="B976" s="1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17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</row>
    <row r="977" spans="2:28" ht="13.2" x14ac:dyDescent="0.25">
      <c r="B977" s="1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17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</row>
    <row r="978" spans="2:28" ht="13.2" x14ac:dyDescent="0.25">
      <c r="B978" s="1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17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</row>
    <row r="979" spans="2:28" ht="13.2" x14ac:dyDescent="0.25">
      <c r="B979" s="1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17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</row>
    <row r="980" spans="2:28" ht="13.2" x14ac:dyDescent="0.25">
      <c r="B980" s="1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17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</row>
    <row r="981" spans="2:28" ht="13.2" x14ac:dyDescent="0.25">
      <c r="B981" s="1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17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</row>
    <row r="982" spans="2:28" ht="13.2" x14ac:dyDescent="0.25">
      <c r="B982" s="1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17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</row>
    <row r="983" spans="2:28" ht="13.2" x14ac:dyDescent="0.25">
      <c r="B983" s="1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17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</row>
    <row r="984" spans="2:28" ht="13.2" x14ac:dyDescent="0.25">
      <c r="B984" s="1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17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</row>
    <row r="985" spans="2:28" ht="13.2" x14ac:dyDescent="0.25">
      <c r="B985" s="1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17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</row>
    <row r="986" spans="2:28" ht="13.2" x14ac:dyDescent="0.25">
      <c r="B986" s="1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17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</row>
    <row r="987" spans="2:28" ht="13.2" x14ac:dyDescent="0.25">
      <c r="B987" s="1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17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</row>
    <row r="988" spans="2:28" ht="13.2" x14ac:dyDescent="0.25">
      <c r="B988" s="1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17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</row>
    <row r="989" spans="2:28" ht="13.2" x14ac:dyDescent="0.25">
      <c r="B989" s="1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17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</row>
    <row r="990" spans="2:28" ht="13.2" x14ac:dyDescent="0.25">
      <c r="B990" s="1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17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</row>
    <row r="991" spans="2:28" ht="13.2" x14ac:dyDescent="0.25">
      <c r="B991" s="1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17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</row>
    <row r="992" spans="2:28" ht="13.2" x14ac:dyDescent="0.25">
      <c r="B992" s="1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17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</row>
    <row r="993" spans="2:28" ht="13.2" x14ac:dyDescent="0.25">
      <c r="B993" s="1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17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</row>
    <row r="994" spans="2:28" ht="13.2" x14ac:dyDescent="0.25">
      <c r="B994" s="1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17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</row>
    <row r="995" spans="2:28" ht="13.2" x14ac:dyDescent="0.25">
      <c r="B995" s="1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17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</row>
    <row r="996" spans="2:28" ht="13.2" x14ac:dyDescent="0.25">
      <c r="B996" s="1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17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</row>
    <row r="997" spans="2:28" ht="13.2" x14ac:dyDescent="0.25">
      <c r="B997" s="1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17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</row>
    <row r="998" spans="2:28" ht="13.2" x14ac:dyDescent="0.25">
      <c r="B998" s="1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17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</row>
    <row r="999" spans="2:28" ht="13.2" x14ac:dyDescent="0.25">
      <c r="B999" s="1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17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</row>
    <row r="1000" spans="2:28" ht="13.2" x14ac:dyDescent="0.25">
      <c r="B1000" s="1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17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</row>
  </sheetData>
  <mergeCells count="2">
    <mergeCell ref="C2:F2"/>
    <mergeCell ref="H2:L2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1005"/>
  <sheetViews>
    <sheetView workbookViewId="0">
      <pane ySplit="1" topLeftCell="A2" activePane="bottomLeft" state="frozen"/>
      <selection pane="bottomLeft" activeCell="E13" sqref="E13"/>
    </sheetView>
  </sheetViews>
  <sheetFormatPr defaultColWidth="12.6640625" defaultRowHeight="15.75" customHeight="1" x14ac:dyDescent="0.25"/>
  <cols>
    <col min="1" max="1" width="11.6640625" customWidth="1"/>
    <col min="2" max="2" width="16.88671875" customWidth="1"/>
    <col min="3" max="3" width="10" customWidth="1"/>
    <col min="4" max="4" width="13.33203125" customWidth="1"/>
    <col min="5" max="5" width="18.44140625" customWidth="1"/>
    <col min="6" max="6" width="17.77734375" customWidth="1"/>
    <col min="7" max="7" width="12.21875" customWidth="1"/>
  </cols>
  <sheetData>
    <row r="1" spans="1:28" ht="26.4" x14ac:dyDescent="0.25">
      <c r="A1" s="2" t="s">
        <v>1</v>
      </c>
      <c r="B1" s="2" t="s">
        <v>3</v>
      </c>
      <c r="C1" s="2" t="s">
        <v>4</v>
      </c>
      <c r="D1" s="2" t="s">
        <v>5</v>
      </c>
      <c r="E1" s="11" t="s">
        <v>6</v>
      </c>
      <c r="F1" s="12"/>
      <c r="G1" s="11" t="s">
        <v>7</v>
      </c>
      <c r="H1" s="12"/>
      <c r="I1" s="11" t="s">
        <v>8</v>
      </c>
      <c r="J1" s="12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spans="1:28" x14ac:dyDescent="0.25">
      <c r="A2" s="2">
        <v>1</v>
      </c>
      <c r="B2" s="2">
        <v>5.8730000000000002</v>
      </c>
      <c r="C2" s="2">
        <v>45</v>
      </c>
      <c r="D2" s="2">
        <v>200</v>
      </c>
      <c r="E2" s="2" t="s">
        <v>10</v>
      </c>
      <c r="F2" s="2" t="s">
        <v>11</v>
      </c>
      <c r="G2" s="2" t="s">
        <v>10</v>
      </c>
      <c r="H2" s="2" t="s">
        <v>12</v>
      </c>
      <c r="I2" s="2" t="s">
        <v>11</v>
      </c>
      <c r="J2" s="3" t="s">
        <v>13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</row>
    <row r="3" spans="1:28" x14ac:dyDescent="0.25">
      <c r="A3" s="2">
        <v>2</v>
      </c>
      <c r="B3" s="2">
        <v>5.8730000000000002</v>
      </c>
      <c r="C3" s="2">
        <v>45</v>
      </c>
      <c r="D3" s="2">
        <v>200</v>
      </c>
      <c r="E3" s="2" t="s">
        <v>11</v>
      </c>
      <c r="F3" s="2" t="s">
        <v>10</v>
      </c>
      <c r="G3" s="2" t="s">
        <v>12</v>
      </c>
      <c r="H3" s="2" t="s">
        <v>10</v>
      </c>
      <c r="I3" s="2" t="s">
        <v>15</v>
      </c>
      <c r="J3" s="3" t="s">
        <v>11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</row>
    <row r="4" spans="1:28" x14ac:dyDescent="0.25">
      <c r="A4" s="2">
        <v>3</v>
      </c>
      <c r="B4" s="2">
        <v>5.8730000000000002</v>
      </c>
      <c r="C4" s="2">
        <v>45</v>
      </c>
      <c r="D4" s="2">
        <v>225</v>
      </c>
      <c r="E4" s="2" t="s">
        <v>10</v>
      </c>
      <c r="F4" s="2" t="s">
        <v>11</v>
      </c>
      <c r="G4" s="2" t="s">
        <v>10</v>
      </c>
      <c r="H4" s="2" t="s">
        <v>12</v>
      </c>
      <c r="I4" s="2" t="s">
        <v>11</v>
      </c>
      <c r="J4" s="3" t="s">
        <v>13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</row>
    <row r="5" spans="1:28" x14ac:dyDescent="0.25">
      <c r="A5" s="2">
        <v>4</v>
      </c>
      <c r="B5" s="2">
        <v>5.8730000000000002</v>
      </c>
      <c r="C5" s="2">
        <v>45</v>
      </c>
      <c r="D5" s="2">
        <v>225</v>
      </c>
      <c r="E5" s="2" t="s">
        <v>10</v>
      </c>
      <c r="F5" s="2" t="s">
        <v>10</v>
      </c>
      <c r="G5" s="2" t="s">
        <v>11</v>
      </c>
      <c r="H5" s="2" t="s">
        <v>10</v>
      </c>
      <c r="I5" s="2" t="s">
        <v>10</v>
      </c>
      <c r="J5" s="3" t="s">
        <v>11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</row>
    <row r="6" spans="1:28" x14ac:dyDescent="0.25">
      <c r="A6" s="2">
        <v>5</v>
      </c>
      <c r="B6" s="2">
        <v>5.8730000000000002</v>
      </c>
      <c r="C6" s="2">
        <v>45</v>
      </c>
      <c r="D6" s="2">
        <v>250</v>
      </c>
      <c r="E6" s="2" t="s">
        <v>10</v>
      </c>
      <c r="F6" s="2" t="s">
        <v>10</v>
      </c>
      <c r="G6" s="2" t="s">
        <v>10</v>
      </c>
      <c r="H6" s="2" t="s">
        <v>10</v>
      </c>
      <c r="I6" s="2" t="s">
        <v>11</v>
      </c>
      <c r="J6" s="3" t="s">
        <v>11</v>
      </c>
      <c r="K6" s="1"/>
      <c r="L6" s="1"/>
      <c r="M6" s="1"/>
      <c r="N6" s="1"/>
      <c r="O6" s="1"/>
      <c r="P6" s="1"/>
      <c r="Q6" s="1"/>
      <c r="R6" s="1"/>
      <c r="S6" s="3"/>
      <c r="T6" s="3"/>
      <c r="U6" s="3"/>
      <c r="V6" s="3"/>
      <c r="W6" s="3"/>
      <c r="X6" s="3"/>
      <c r="Y6" s="3"/>
      <c r="Z6" s="3"/>
      <c r="AA6" s="3"/>
      <c r="AB6" s="3"/>
    </row>
    <row r="7" spans="1:28" x14ac:dyDescent="0.25">
      <c r="A7" s="2">
        <v>6</v>
      </c>
      <c r="B7" s="2">
        <v>5.8730000000000002</v>
      </c>
      <c r="C7" s="2">
        <v>45</v>
      </c>
      <c r="D7" s="2">
        <v>250</v>
      </c>
      <c r="E7" s="2" t="s">
        <v>11</v>
      </c>
      <c r="F7" s="2" t="s">
        <v>10</v>
      </c>
      <c r="G7" s="2" t="s">
        <v>12</v>
      </c>
      <c r="H7" s="2" t="s">
        <v>10</v>
      </c>
      <c r="I7" s="2" t="s">
        <v>13</v>
      </c>
      <c r="J7" s="3" t="s">
        <v>11</v>
      </c>
      <c r="K7" s="1"/>
      <c r="L7" s="1"/>
      <c r="M7" s="1"/>
      <c r="N7" s="1"/>
      <c r="O7" s="1"/>
      <c r="P7" s="1"/>
      <c r="Q7" s="1"/>
      <c r="R7" s="1"/>
      <c r="S7" s="3"/>
      <c r="T7" s="3"/>
      <c r="U7" s="3"/>
      <c r="V7" s="3"/>
      <c r="W7" s="3"/>
      <c r="X7" s="3"/>
      <c r="Y7" s="3"/>
      <c r="Z7" s="3"/>
      <c r="AA7" s="3"/>
      <c r="AB7" s="3"/>
    </row>
    <row r="8" spans="1:28" x14ac:dyDescent="0.25">
      <c r="A8" s="2">
        <v>7.1</v>
      </c>
      <c r="B8" s="2">
        <v>5.8730000000000002</v>
      </c>
      <c r="C8" s="2">
        <v>45</v>
      </c>
      <c r="D8" s="2">
        <v>275</v>
      </c>
      <c r="E8" s="2" t="s">
        <v>11</v>
      </c>
      <c r="F8" s="2" t="s">
        <v>11</v>
      </c>
      <c r="G8" s="2" t="s">
        <v>12</v>
      </c>
      <c r="H8" s="2" t="s">
        <v>12</v>
      </c>
      <c r="I8" s="2" t="s">
        <v>13</v>
      </c>
      <c r="J8" s="3" t="s">
        <v>13</v>
      </c>
      <c r="K8" s="1"/>
      <c r="L8" s="1"/>
      <c r="M8" s="1"/>
      <c r="N8" s="1"/>
      <c r="O8" s="1"/>
      <c r="P8" s="1"/>
      <c r="Q8" s="1"/>
      <c r="R8" s="1"/>
      <c r="S8" s="3"/>
      <c r="T8" s="3"/>
      <c r="U8" s="3"/>
      <c r="V8" s="3"/>
      <c r="W8" s="3"/>
      <c r="X8" s="3"/>
      <c r="Y8" s="3"/>
      <c r="Z8" s="3"/>
      <c r="AA8" s="3"/>
      <c r="AB8" s="3"/>
    </row>
    <row r="9" spans="1:28" x14ac:dyDescent="0.25">
      <c r="A9" s="2">
        <v>7.2</v>
      </c>
      <c r="B9" s="2">
        <v>5.8730000000000002</v>
      </c>
      <c r="C9" s="2">
        <v>45</v>
      </c>
      <c r="D9" s="2">
        <v>275</v>
      </c>
      <c r="E9" s="2" t="s">
        <v>10</v>
      </c>
      <c r="F9" s="2" t="s">
        <v>11</v>
      </c>
      <c r="G9" s="2" t="s">
        <v>10</v>
      </c>
      <c r="H9" s="2" t="s">
        <v>12</v>
      </c>
      <c r="I9" s="2" t="s">
        <v>11</v>
      </c>
      <c r="J9" s="3" t="s">
        <v>13</v>
      </c>
      <c r="K9" s="1"/>
      <c r="L9" s="1"/>
      <c r="M9" s="1"/>
      <c r="N9" s="1"/>
      <c r="O9" s="1"/>
      <c r="P9" s="1"/>
      <c r="Q9" s="1"/>
      <c r="R9" s="1"/>
      <c r="S9" s="3"/>
      <c r="T9" s="3"/>
      <c r="U9" s="3"/>
      <c r="V9" s="3"/>
      <c r="W9" s="3"/>
      <c r="X9" s="3"/>
      <c r="Y9" s="3"/>
      <c r="Z9" s="3"/>
      <c r="AA9" s="3"/>
      <c r="AB9" s="3"/>
    </row>
    <row r="10" spans="1:28" x14ac:dyDescent="0.25">
      <c r="A10" s="2">
        <v>8</v>
      </c>
      <c r="B10" s="2">
        <v>5.8730000000000002</v>
      </c>
      <c r="C10" s="2">
        <v>45</v>
      </c>
      <c r="D10" s="2">
        <v>275</v>
      </c>
      <c r="E10" s="2" t="s">
        <v>10</v>
      </c>
      <c r="F10" s="2" t="s">
        <v>11</v>
      </c>
      <c r="G10" s="2" t="s">
        <v>10</v>
      </c>
      <c r="H10" s="2" t="s">
        <v>12</v>
      </c>
      <c r="I10" s="2" t="s">
        <v>11</v>
      </c>
      <c r="J10" s="3" t="s">
        <v>13</v>
      </c>
      <c r="K10" s="1"/>
      <c r="L10" s="1"/>
      <c r="M10" s="1"/>
      <c r="N10" s="1"/>
      <c r="O10" s="1"/>
      <c r="P10" s="1"/>
      <c r="Q10" s="1"/>
      <c r="R10" s="1"/>
      <c r="S10" s="3"/>
      <c r="T10" s="3"/>
      <c r="U10" s="3"/>
      <c r="V10" s="3"/>
      <c r="W10" s="3"/>
      <c r="X10" s="3"/>
      <c r="Y10" s="3"/>
      <c r="Z10" s="3"/>
      <c r="AA10" s="3"/>
      <c r="AB10" s="3"/>
    </row>
    <row r="11" spans="1:28" x14ac:dyDescent="0.25">
      <c r="A11" s="2">
        <v>9</v>
      </c>
      <c r="B11" s="2">
        <v>5.8730000000000002</v>
      </c>
      <c r="C11" s="2">
        <v>45</v>
      </c>
      <c r="D11" s="2">
        <v>300</v>
      </c>
      <c r="E11" s="2" t="s">
        <v>10</v>
      </c>
      <c r="F11" s="2" t="s">
        <v>16</v>
      </c>
      <c r="G11" s="2" t="s">
        <v>10</v>
      </c>
      <c r="H11" s="2" t="s">
        <v>12</v>
      </c>
      <c r="I11" s="2" t="s">
        <v>11</v>
      </c>
      <c r="J11" s="3" t="s">
        <v>13</v>
      </c>
      <c r="K11" s="1"/>
      <c r="L11" s="1"/>
      <c r="M11" s="1"/>
      <c r="N11" s="1"/>
      <c r="O11" s="1"/>
      <c r="P11" s="1"/>
      <c r="Q11" s="1"/>
      <c r="R11" s="1"/>
      <c r="S11" s="3"/>
      <c r="T11" s="3"/>
      <c r="U11" s="3"/>
      <c r="V11" s="3"/>
      <c r="W11" s="3"/>
      <c r="X11" s="3"/>
      <c r="Y11" s="3"/>
      <c r="Z11" s="3"/>
      <c r="AA11" s="3"/>
      <c r="AB11" s="3"/>
    </row>
    <row r="12" spans="1:28" x14ac:dyDescent="0.25">
      <c r="A12" s="2">
        <v>10</v>
      </c>
      <c r="B12" s="2">
        <v>5.8730000000000002</v>
      </c>
      <c r="C12" s="2">
        <v>45</v>
      </c>
      <c r="D12" s="2">
        <v>300</v>
      </c>
      <c r="E12" s="2" t="s">
        <v>10</v>
      </c>
      <c r="F12" s="2" t="s">
        <v>10</v>
      </c>
      <c r="G12" s="2" t="s">
        <v>10</v>
      </c>
      <c r="H12" s="2" t="s">
        <v>10</v>
      </c>
      <c r="I12" s="2" t="s">
        <v>11</v>
      </c>
      <c r="J12" s="3" t="s">
        <v>11</v>
      </c>
      <c r="K12" s="1"/>
      <c r="L12" s="1"/>
      <c r="M12" s="1"/>
      <c r="N12" s="1"/>
      <c r="O12" s="1"/>
      <c r="P12" s="1"/>
      <c r="Q12" s="1"/>
      <c r="R12" s="1"/>
      <c r="S12" s="3"/>
      <c r="T12" s="3"/>
      <c r="U12" s="3"/>
      <c r="V12" s="3"/>
      <c r="W12" s="3"/>
      <c r="X12" s="3"/>
      <c r="Y12" s="3"/>
      <c r="Z12" s="3"/>
      <c r="AA12" s="3"/>
      <c r="AB12" s="3"/>
    </row>
    <row r="13" spans="1:28" x14ac:dyDescent="0.25">
      <c r="A13" s="1"/>
      <c r="B13" s="1"/>
      <c r="C13" s="1"/>
      <c r="D13" s="1"/>
      <c r="E13" s="1"/>
      <c r="F13" s="1"/>
      <c r="G13" s="1"/>
      <c r="H13" s="1"/>
      <c r="I13" s="1"/>
      <c r="J13" s="3"/>
      <c r="K13" s="1"/>
      <c r="L13" s="1"/>
      <c r="M13" s="1"/>
      <c r="N13" s="1"/>
      <c r="O13" s="1"/>
      <c r="P13" s="1"/>
      <c r="Q13" s="1"/>
      <c r="R13" s="1"/>
      <c r="S13" s="3"/>
      <c r="T13" s="3"/>
      <c r="U13" s="3"/>
      <c r="V13" s="3"/>
      <c r="W13" s="3"/>
      <c r="X13" s="3"/>
      <c r="Y13" s="3"/>
      <c r="Z13" s="3"/>
      <c r="AA13" s="3"/>
      <c r="AB13" s="3"/>
    </row>
    <row r="14" spans="1:28" x14ac:dyDescent="0.25">
      <c r="A14" s="1"/>
      <c r="B14" s="1"/>
      <c r="C14" s="1"/>
      <c r="D14" s="1"/>
      <c r="E14" s="1"/>
      <c r="F14" s="1"/>
      <c r="G14" s="1"/>
      <c r="H14" s="1"/>
      <c r="I14" s="1"/>
      <c r="J14" s="3"/>
      <c r="K14" s="1"/>
      <c r="L14" s="1"/>
      <c r="M14" s="1"/>
      <c r="N14" s="1"/>
      <c r="O14" s="1"/>
      <c r="P14" s="1"/>
      <c r="Q14" s="1"/>
      <c r="R14" s="1"/>
      <c r="S14" s="3"/>
      <c r="T14" s="3"/>
      <c r="U14" s="3"/>
      <c r="V14" s="3"/>
      <c r="W14" s="3"/>
      <c r="X14" s="3"/>
      <c r="Y14" s="3"/>
      <c r="Z14" s="3"/>
      <c r="AA14" s="3"/>
      <c r="AB14" s="3"/>
    </row>
    <row r="15" spans="1:28" x14ac:dyDescent="0.25">
      <c r="A15" s="1" t="s">
        <v>0</v>
      </c>
      <c r="B15" s="1" t="s">
        <v>2</v>
      </c>
      <c r="C15" s="1"/>
      <c r="D15" s="1"/>
      <c r="E15" s="1"/>
      <c r="F15" s="1"/>
      <c r="G15" s="1"/>
      <c r="H15" s="1"/>
      <c r="I15" s="1"/>
      <c r="J15" s="3"/>
      <c r="K15" s="1"/>
      <c r="L15" s="1"/>
      <c r="M15" s="1"/>
      <c r="N15" s="1"/>
      <c r="O15" s="1"/>
      <c r="P15" s="1"/>
      <c r="Q15" s="1"/>
      <c r="R15" s="1"/>
      <c r="S15" s="3"/>
      <c r="T15" s="3"/>
      <c r="U15" s="3"/>
      <c r="V15" s="3"/>
      <c r="W15" s="3"/>
      <c r="X15" s="3"/>
      <c r="Y15" s="3"/>
      <c r="Z15" s="3"/>
      <c r="AA15" s="3"/>
      <c r="AB15" s="3"/>
    </row>
    <row r="16" spans="1:28" x14ac:dyDescent="0.25">
      <c r="A16" s="1"/>
      <c r="B16" s="1"/>
      <c r="C16" s="1"/>
      <c r="D16" s="1"/>
      <c r="E16" s="1" t="s">
        <v>9</v>
      </c>
      <c r="F16" s="1" t="s">
        <v>14</v>
      </c>
      <c r="G16" s="1"/>
      <c r="H16" s="1"/>
      <c r="I16" s="1"/>
      <c r="J16" s="3"/>
      <c r="K16" s="1"/>
      <c r="L16" s="1"/>
      <c r="M16" s="1"/>
      <c r="N16" s="1"/>
      <c r="O16" s="1"/>
      <c r="P16" s="1"/>
      <c r="Q16" s="1"/>
      <c r="R16" s="1"/>
      <c r="S16" s="3"/>
      <c r="T16" s="3"/>
      <c r="U16" s="3"/>
      <c r="V16" s="3"/>
      <c r="W16" s="3"/>
      <c r="X16" s="3"/>
      <c r="Y16" s="3"/>
      <c r="Z16" s="3"/>
      <c r="AA16" s="3"/>
      <c r="AB16" s="3"/>
    </row>
    <row r="17" spans="1:28" x14ac:dyDescent="0.25">
      <c r="A17" s="1" t="s">
        <v>17</v>
      </c>
      <c r="B17" s="1">
        <v>5.8730000000000002</v>
      </c>
      <c r="C17" s="1">
        <v>45</v>
      </c>
      <c r="D17" s="1">
        <v>300</v>
      </c>
      <c r="E17" s="1" t="s">
        <v>10</v>
      </c>
      <c r="F17" s="1" t="s">
        <v>18</v>
      </c>
      <c r="G17" s="1"/>
      <c r="H17" s="1"/>
      <c r="I17" s="1"/>
      <c r="J17" s="3"/>
      <c r="K17" s="1"/>
      <c r="L17" s="1"/>
      <c r="M17" s="1"/>
      <c r="N17" s="1"/>
      <c r="O17" s="1"/>
      <c r="P17" s="1"/>
      <c r="Q17" s="1"/>
      <c r="R17" s="1"/>
      <c r="S17" s="3"/>
      <c r="T17" s="3"/>
      <c r="U17" s="3"/>
      <c r="V17" s="3"/>
      <c r="W17" s="3"/>
      <c r="X17" s="3"/>
      <c r="Y17" s="3"/>
      <c r="Z17" s="3"/>
      <c r="AA17" s="3"/>
      <c r="AB17" s="3"/>
    </row>
    <row r="18" spans="1:28" x14ac:dyDescent="0.25">
      <c r="A18" s="3">
        <v>1</v>
      </c>
      <c r="B18" s="2">
        <v>5.8730000000000002</v>
      </c>
      <c r="C18" s="5">
        <v>45</v>
      </c>
      <c r="D18" s="3">
        <v>300</v>
      </c>
      <c r="E18" s="6" t="s">
        <v>10</v>
      </c>
      <c r="F18" s="7" t="s">
        <v>18</v>
      </c>
      <c r="G18" s="3"/>
      <c r="H18" s="3"/>
      <c r="I18" s="3"/>
      <c r="J18" s="3"/>
      <c r="K18" s="1"/>
      <c r="L18" s="1"/>
      <c r="M18" s="1"/>
      <c r="N18" s="1"/>
      <c r="O18" s="1"/>
      <c r="P18" s="1"/>
      <c r="Q18" s="1"/>
      <c r="R18" s="1"/>
      <c r="S18" s="3"/>
      <c r="T18" s="3"/>
      <c r="U18" s="3"/>
      <c r="V18" s="3"/>
      <c r="W18" s="3"/>
      <c r="X18" s="3"/>
      <c r="Y18" s="3"/>
      <c r="Z18" s="3"/>
      <c r="AA18" s="3"/>
      <c r="AB18" s="3"/>
    </row>
    <row r="19" spans="1:28" x14ac:dyDescent="0.25">
      <c r="A19" s="3">
        <f t="shared" ref="A19:A27" si="0">SUM(A18+1)</f>
        <v>2</v>
      </c>
      <c r="B19" s="2">
        <v>5.8730000000000002</v>
      </c>
      <c r="C19" s="5">
        <v>45</v>
      </c>
      <c r="D19" s="3">
        <v>300</v>
      </c>
      <c r="E19" s="6" t="s">
        <v>10</v>
      </c>
      <c r="F19" s="7" t="s">
        <v>18</v>
      </c>
      <c r="G19" s="3"/>
      <c r="H19" s="3"/>
      <c r="I19" s="3"/>
      <c r="J19" s="3"/>
      <c r="K19" s="1"/>
      <c r="L19" s="1"/>
      <c r="M19" s="1"/>
      <c r="N19" s="1"/>
      <c r="O19" s="1"/>
      <c r="P19" s="1"/>
      <c r="Q19" s="1"/>
      <c r="R19" s="1"/>
      <c r="S19" s="3"/>
      <c r="T19" s="3"/>
      <c r="U19" s="3"/>
      <c r="V19" s="3"/>
      <c r="W19" s="3"/>
      <c r="X19" s="3"/>
      <c r="Y19" s="3"/>
      <c r="Z19" s="3"/>
      <c r="AA19" s="3"/>
      <c r="AB19" s="3"/>
    </row>
    <row r="20" spans="1:28" x14ac:dyDescent="0.25">
      <c r="A20" s="3">
        <f t="shared" si="0"/>
        <v>3</v>
      </c>
      <c r="B20" s="2">
        <v>5.8730000000000002</v>
      </c>
      <c r="C20" s="5">
        <v>60</v>
      </c>
      <c r="D20" s="3">
        <v>300</v>
      </c>
      <c r="E20" s="7" t="s">
        <v>11</v>
      </c>
      <c r="F20" s="7" t="s">
        <v>19</v>
      </c>
      <c r="G20" s="3"/>
      <c r="H20" s="3"/>
      <c r="I20" s="3"/>
      <c r="J20" s="3"/>
      <c r="K20" s="1"/>
      <c r="L20" s="1"/>
      <c r="M20" s="1"/>
      <c r="N20" s="1"/>
      <c r="O20" s="1"/>
      <c r="P20" s="1"/>
      <c r="Q20" s="1"/>
      <c r="R20" s="1"/>
      <c r="S20" s="3"/>
      <c r="T20" s="3"/>
      <c r="U20" s="3"/>
      <c r="V20" s="3"/>
      <c r="W20" s="3"/>
      <c r="X20" s="3"/>
      <c r="Y20" s="3"/>
      <c r="Z20" s="3"/>
      <c r="AA20" s="3"/>
      <c r="AB20" s="3"/>
    </row>
    <row r="21" spans="1:28" x14ac:dyDescent="0.25">
      <c r="A21" s="3">
        <f t="shared" si="0"/>
        <v>4</v>
      </c>
      <c r="B21" s="2">
        <v>5.8730000000000002</v>
      </c>
      <c r="C21" s="5">
        <v>60</v>
      </c>
      <c r="D21" s="3">
        <v>300</v>
      </c>
      <c r="E21" s="6" t="s">
        <v>10</v>
      </c>
      <c r="F21" s="7" t="s">
        <v>18</v>
      </c>
      <c r="G21" s="3"/>
      <c r="H21" s="3"/>
      <c r="I21" s="3"/>
      <c r="J21" s="3"/>
      <c r="K21" s="1"/>
      <c r="L21" s="1"/>
      <c r="M21" s="1"/>
      <c r="N21" s="1"/>
      <c r="O21" s="1"/>
      <c r="P21" s="1"/>
      <c r="Q21" s="1"/>
      <c r="R21" s="1"/>
      <c r="S21" s="3"/>
      <c r="T21" s="3"/>
      <c r="U21" s="3"/>
      <c r="V21" s="3"/>
      <c r="W21" s="3"/>
      <c r="X21" s="3"/>
      <c r="Y21" s="3"/>
      <c r="Z21" s="3"/>
      <c r="AA21" s="3"/>
      <c r="AB21" s="3"/>
    </row>
    <row r="22" spans="1:28" x14ac:dyDescent="0.25">
      <c r="A22" s="3">
        <f t="shared" si="0"/>
        <v>5</v>
      </c>
      <c r="B22" s="2">
        <v>5.8730000000000002</v>
      </c>
      <c r="C22" s="5">
        <v>75</v>
      </c>
      <c r="D22" s="3">
        <v>300</v>
      </c>
      <c r="E22" s="6" t="s">
        <v>10</v>
      </c>
      <c r="F22" s="7" t="s">
        <v>18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</row>
    <row r="23" spans="1:28" x14ac:dyDescent="0.25">
      <c r="A23" s="3">
        <f t="shared" si="0"/>
        <v>6</v>
      </c>
      <c r="B23" s="2">
        <v>5.8730000000000002</v>
      </c>
      <c r="C23" s="5">
        <v>75</v>
      </c>
      <c r="D23" s="3">
        <v>300</v>
      </c>
      <c r="E23" s="7" t="s">
        <v>11</v>
      </c>
      <c r="F23" s="7" t="s">
        <v>20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</row>
    <row r="24" spans="1:28" x14ac:dyDescent="0.25">
      <c r="A24" s="3">
        <f t="shared" si="0"/>
        <v>7</v>
      </c>
      <c r="B24" s="2">
        <v>5.8730000000000002</v>
      </c>
      <c r="C24" s="5">
        <v>90</v>
      </c>
      <c r="D24" s="3">
        <v>300</v>
      </c>
      <c r="E24" s="6" t="s">
        <v>10</v>
      </c>
      <c r="F24" s="7" t="s">
        <v>18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</row>
    <row r="25" spans="1:28" x14ac:dyDescent="0.25">
      <c r="A25" s="3">
        <f t="shared" si="0"/>
        <v>8</v>
      </c>
      <c r="B25" s="2">
        <v>5.8730000000000002</v>
      </c>
      <c r="C25" s="5">
        <v>90</v>
      </c>
      <c r="D25" s="3">
        <v>300</v>
      </c>
      <c r="E25" s="6" t="s">
        <v>10</v>
      </c>
      <c r="F25" s="7" t="s">
        <v>18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</row>
    <row r="26" spans="1:28" x14ac:dyDescent="0.25">
      <c r="A26" s="3">
        <f t="shared" si="0"/>
        <v>9</v>
      </c>
      <c r="B26" s="2">
        <v>5.8730000000000002</v>
      </c>
      <c r="C26" s="5">
        <v>105</v>
      </c>
      <c r="D26" s="3">
        <v>300</v>
      </c>
      <c r="E26" s="7" t="s">
        <v>11</v>
      </c>
      <c r="F26" s="7" t="s">
        <v>19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</row>
    <row r="27" spans="1:28" x14ac:dyDescent="0.25">
      <c r="A27" s="3">
        <f t="shared" si="0"/>
        <v>10</v>
      </c>
      <c r="B27" s="2">
        <v>5.8730000000000002</v>
      </c>
      <c r="C27" s="5">
        <v>105</v>
      </c>
      <c r="D27" s="3">
        <v>300</v>
      </c>
      <c r="E27" s="6" t="s">
        <v>10</v>
      </c>
      <c r="F27" s="7" t="s">
        <v>21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</row>
    <row r="28" spans="1:28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</row>
    <row r="29" spans="1:28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</row>
    <row r="30" spans="1:28" x14ac:dyDescent="0.25">
      <c r="A30" s="8">
        <v>1</v>
      </c>
      <c r="B30" s="9" t="s">
        <v>10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</row>
    <row r="31" spans="1:28" x14ac:dyDescent="0.25">
      <c r="A31" s="8">
        <f t="shared" ref="A31:A39" si="1">SUM(A30+1)</f>
        <v>2</v>
      </c>
      <c r="B31" s="9" t="s">
        <v>10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</row>
    <row r="32" spans="1:28" x14ac:dyDescent="0.25">
      <c r="A32" s="8">
        <f t="shared" si="1"/>
        <v>3</v>
      </c>
      <c r="B32" s="10" t="s">
        <v>11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</row>
    <row r="33" spans="1:28" x14ac:dyDescent="0.25">
      <c r="A33" s="8">
        <f t="shared" si="1"/>
        <v>4</v>
      </c>
      <c r="B33" s="9" t="s">
        <v>10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</row>
    <row r="34" spans="1:28" x14ac:dyDescent="0.25">
      <c r="A34" s="8">
        <f t="shared" si="1"/>
        <v>5</v>
      </c>
      <c r="B34" s="9" t="s">
        <v>10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</row>
    <row r="35" spans="1:28" x14ac:dyDescent="0.25">
      <c r="A35" s="8">
        <f t="shared" si="1"/>
        <v>6</v>
      </c>
      <c r="B35" s="10" t="s">
        <v>11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</row>
    <row r="36" spans="1:28" x14ac:dyDescent="0.25">
      <c r="A36" s="8">
        <f t="shared" si="1"/>
        <v>7</v>
      </c>
      <c r="B36" s="9" t="s">
        <v>10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</row>
    <row r="37" spans="1:28" x14ac:dyDescent="0.25">
      <c r="A37" s="8">
        <f t="shared" si="1"/>
        <v>8</v>
      </c>
      <c r="B37" s="9" t="s">
        <v>10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</row>
    <row r="38" spans="1:28" x14ac:dyDescent="0.25">
      <c r="A38" s="8">
        <f t="shared" si="1"/>
        <v>9</v>
      </c>
      <c r="B38" s="10" t="s">
        <v>11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</row>
    <row r="39" spans="1:28" x14ac:dyDescent="0.25">
      <c r="A39" s="8">
        <f t="shared" si="1"/>
        <v>10</v>
      </c>
      <c r="B39" s="9" t="s">
        <v>10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</row>
    <row r="40" spans="1:28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</row>
    <row r="41" spans="1:28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</row>
    <row r="42" spans="1:28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</row>
    <row r="43" spans="1:28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</row>
    <row r="44" spans="1:28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</row>
    <row r="45" spans="1:28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</row>
    <row r="46" spans="1:28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</row>
    <row r="47" spans="1:28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</row>
    <row r="48" spans="1:28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</row>
    <row r="49" spans="1:28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</row>
    <row r="50" spans="1:28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</row>
    <row r="51" spans="1:28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</row>
    <row r="52" spans="1:28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</row>
    <row r="53" spans="1:28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</row>
    <row r="54" spans="1:28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</row>
    <row r="55" spans="1:28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</row>
    <row r="56" spans="1:28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</row>
    <row r="57" spans="1:28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</row>
    <row r="58" spans="1:28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</row>
    <row r="59" spans="1:28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</row>
    <row r="60" spans="1:28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</row>
    <row r="61" spans="1:28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</row>
    <row r="62" spans="1:28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</row>
    <row r="63" spans="1:28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</row>
    <row r="64" spans="1:28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</row>
    <row r="65" spans="1:28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</row>
    <row r="66" spans="1:28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</row>
    <row r="67" spans="1:28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</row>
    <row r="68" spans="1:28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</row>
    <row r="69" spans="1:28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</row>
    <row r="70" spans="1:28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</row>
    <row r="71" spans="1:28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</row>
    <row r="72" spans="1:28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</row>
    <row r="73" spans="1:28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</row>
    <row r="74" spans="1:28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</row>
    <row r="75" spans="1:28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</row>
    <row r="76" spans="1:28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</row>
    <row r="77" spans="1:28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</row>
    <row r="78" spans="1:28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</row>
    <row r="79" spans="1:28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</row>
    <row r="80" spans="1:28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</row>
    <row r="81" spans="1:28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</row>
    <row r="82" spans="1:28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</row>
    <row r="83" spans="1:28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</row>
    <row r="84" spans="1:28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</row>
    <row r="85" spans="1:28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</row>
    <row r="86" spans="1:28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</row>
    <row r="87" spans="1:28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</row>
    <row r="88" spans="1:28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</row>
    <row r="89" spans="1:28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</row>
    <row r="90" spans="1:28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</row>
    <row r="91" spans="1:28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</row>
    <row r="92" spans="1:28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</row>
    <row r="93" spans="1:28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</row>
    <row r="94" spans="1:28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</row>
    <row r="95" spans="1:28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</row>
    <row r="96" spans="1:28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</row>
    <row r="97" spans="1:28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</row>
    <row r="98" spans="1:28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</row>
    <row r="99" spans="1:28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</row>
    <row r="100" spans="1:28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</row>
    <row r="101" spans="1:28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</row>
    <row r="102" spans="1:28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</row>
    <row r="103" spans="1:28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</row>
    <row r="104" spans="1:28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</row>
    <row r="105" spans="1:28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</row>
    <row r="106" spans="1:28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</row>
    <row r="107" spans="1:28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</row>
    <row r="108" spans="1:28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</row>
    <row r="109" spans="1:28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</row>
    <row r="110" spans="1:28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</row>
    <row r="111" spans="1:28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</row>
    <row r="112" spans="1:28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</row>
    <row r="113" spans="1:28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</row>
    <row r="114" spans="1:28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</row>
    <row r="115" spans="1:28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</row>
    <row r="116" spans="1:28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</row>
    <row r="117" spans="1:28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</row>
    <row r="118" spans="1:28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</row>
    <row r="119" spans="1:28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</row>
    <row r="120" spans="1:28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</row>
    <row r="121" spans="1:28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</row>
    <row r="122" spans="1:28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</row>
    <row r="123" spans="1:28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</row>
    <row r="124" spans="1:28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</row>
    <row r="125" spans="1:28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</row>
    <row r="126" spans="1:28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</row>
    <row r="127" spans="1:28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</row>
    <row r="128" spans="1:28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</row>
    <row r="129" spans="1:28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</row>
    <row r="130" spans="1:28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</row>
    <row r="131" spans="1:28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</row>
    <row r="132" spans="1:28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</row>
    <row r="133" spans="1:28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</row>
    <row r="134" spans="1:28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</row>
    <row r="135" spans="1:28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</row>
    <row r="136" spans="1:28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</row>
    <row r="137" spans="1:28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</row>
    <row r="138" spans="1:28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</row>
    <row r="139" spans="1:28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</row>
    <row r="140" spans="1:28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</row>
    <row r="141" spans="1:28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</row>
    <row r="142" spans="1:28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</row>
    <row r="143" spans="1:28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</row>
    <row r="144" spans="1:28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</row>
    <row r="145" spans="1:28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</row>
    <row r="146" spans="1:28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</row>
    <row r="147" spans="1:28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</row>
    <row r="148" spans="1:28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</row>
    <row r="149" spans="1:28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</row>
    <row r="150" spans="1:28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</row>
    <row r="151" spans="1:28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</row>
    <row r="152" spans="1:28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</row>
    <row r="153" spans="1:28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</row>
    <row r="154" spans="1:28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</row>
    <row r="155" spans="1:28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</row>
    <row r="156" spans="1:28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</row>
    <row r="157" spans="1:28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</row>
    <row r="158" spans="1:28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</row>
    <row r="159" spans="1:28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</row>
    <row r="160" spans="1:28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</row>
    <row r="161" spans="1:28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</row>
    <row r="162" spans="1:28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</row>
    <row r="163" spans="1:28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</row>
    <row r="164" spans="1:28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</row>
    <row r="165" spans="1:28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</row>
    <row r="166" spans="1:28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</row>
    <row r="167" spans="1:28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</row>
    <row r="168" spans="1:28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</row>
    <row r="169" spans="1:28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</row>
    <row r="170" spans="1:28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</row>
    <row r="171" spans="1:28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</row>
    <row r="172" spans="1:28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</row>
    <row r="173" spans="1:28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</row>
    <row r="174" spans="1:28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</row>
    <row r="175" spans="1:28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</row>
    <row r="176" spans="1:28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</row>
    <row r="177" spans="1:28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</row>
    <row r="178" spans="1:28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</row>
    <row r="179" spans="1:28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</row>
    <row r="180" spans="1:28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</row>
    <row r="181" spans="1:28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</row>
    <row r="182" spans="1:28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</row>
    <row r="183" spans="1:28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</row>
    <row r="184" spans="1:28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</row>
    <row r="185" spans="1:28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</row>
    <row r="186" spans="1:28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</row>
    <row r="187" spans="1:28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</row>
    <row r="188" spans="1:28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</row>
    <row r="189" spans="1:28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</row>
    <row r="190" spans="1:28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</row>
    <row r="191" spans="1:28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</row>
    <row r="192" spans="1:28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</row>
    <row r="193" spans="1:28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</row>
    <row r="194" spans="1:28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</row>
    <row r="195" spans="1:28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</row>
    <row r="196" spans="1:28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</row>
    <row r="197" spans="1:28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</row>
    <row r="198" spans="1:28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</row>
    <row r="199" spans="1:28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</row>
    <row r="200" spans="1:28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</row>
    <row r="201" spans="1:28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</row>
    <row r="202" spans="1:28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</row>
    <row r="203" spans="1:28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</row>
    <row r="204" spans="1:28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</row>
    <row r="205" spans="1:28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</row>
    <row r="206" spans="1:28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</row>
    <row r="207" spans="1:28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</row>
    <row r="208" spans="1:28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</row>
    <row r="209" spans="1:28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</row>
    <row r="210" spans="1:28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</row>
    <row r="211" spans="1:28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</row>
    <row r="212" spans="1:28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</row>
    <row r="213" spans="1:28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</row>
    <row r="214" spans="1:28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</row>
    <row r="215" spans="1:28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</row>
    <row r="216" spans="1:28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</row>
    <row r="217" spans="1:28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</row>
    <row r="218" spans="1:28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</row>
    <row r="219" spans="1:28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</row>
    <row r="220" spans="1:28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</row>
    <row r="221" spans="1:28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</row>
    <row r="222" spans="1:28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</row>
    <row r="223" spans="1:28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</row>
    <row r="224" spans="1:28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</row>
    <row r="225" spans="1:28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</row>
    <row r="226" spans="1:28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</row>
    <row r="227" spans="1:28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</row>
    <row r="228" spans="1:28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</row>
    <row r="229" spans="1:28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</row>
    <row r="230" spans="1:28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</row>
    <row r="231" spans="1:28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</row>
    <row r="232" spans="1:28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</row>
    <row r="233" spans="1:28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</row>
    <row r="234" spans="1:28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</row>
    <row r="235" spans="1:28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</row>
    <row r="236" spans="1:28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</row>
    <row r="237" spans="1:28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</row>
    <row r="238" spans="1:28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</row>
    <row r="239" spans="1:28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</row>
    <row r="240" spans="1:28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</row>
    <row r="241" spans="1:28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</row>
    <row r="242" spans="1:28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</row>
    <row r="243" spans="1:28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</row>
    <row r="244" spans="1:28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</row>
    <row r="245" spans="1:28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</row>
    <row r="246" spans="1:28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</row>
    <row r="247" spans="1:28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</row>
    <row r="248" spans="1:28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</row>
    <row r="249" spans="1:28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</row>
    <row r="250" spans="1:28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</row>
    <row r="251" spans="1:28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</row>
    <row r="252" spans="1:28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</row>
    <row r="253" spans="1:28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</row>
    <row r="254" spans="1:28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</row>
    <row r="255" spans="1:28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</row>
    <row r="256" spans="1:28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</row>
    <row r="257" spans="1:28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</row>
    <row r="258" spans="1:28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</row>
    <row r="259" spans="1:28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</row>
    <row r="260" spans="1:28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</row>
    <row r="261" spans="1:28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</row>
    <row r="262" spans="1:28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</row>
    <row r="263" spans="1:28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</row>
    <row r="264" spans="1:28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</row>
    <row r="265" spans="1:28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</row>
    <row r="266" spans="1:28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</row>
    <row r="267" spans="1:28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</row>
    <row r="268" spans="1:28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</row>
    <row r="269" spans="1:28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</row>
    <row r="270" spans="1:28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</row>
    <row r="271" spans="1:28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</row>
    <row r="272" spans="1:28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</row>
    <row r="273" spans="1:28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</row>
    <row r="274" spans="1:28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</row>
    <row r="275" spans="1:28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</row>
    <row r="276" spans="1:28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</row>
    <row r="277" spans="1:28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</row>
    <row r="278" spans="1:28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</row>
    <row r="279" spans="1:28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</row>
    <row r="280" spans="1:28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</row>
    <row r="281" spans="1:28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</row>
    <row r="282" spans="1:28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</row>
    <row r="283" spans="1:28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</row>
    <row r="284" spans="1:28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</row>
    <row r="285" spans="1:28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</row>
    <row r="286" spans="1:28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</row>
    <row r="287" spans="1:28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</row>
    <row r="288" spans="1:28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</row>
    <row r="289" spans="1:28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</row>
    <row r="290" spans="1:28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</row>
    <row r="291" spans="1:28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</row>
    <row r="292" spans="1:28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</row>
    <row r="293" spans="1:28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</row>
    <row r="294" spans="1:28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</row>
    <row r="295" spans="1:28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</row>
    <row r="296" spans="1:28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</row>
    <row r="297" spans="1:28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</row>
    <row r="298" spans="1:28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</row>
    <row r="299" spans="1:28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</row>
    <row r="300" spans="1:28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</row>
    <row r="301" spans="1:28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</row>
    <row r="302" spans="1:28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</row>
    <row r="303" spans="1:28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</row>
    <row r="304" spans="1:28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</row>
    <row r="305" spans="1:28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</row>
    <row r="306" spans="1:28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</row>
    <row r="307" spans="1:28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</row>
    <row r="308" spans="1:28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</row>
    <row r="309" spans="1:28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</row>
    <row r="310" spans="1:28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</row>
    <row r="311" spans="1:28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</row>
    <row r="312" spans="1:28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</row>
    <row r="313" spans="1:28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</row>
    <row r="314" spans="1:28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</row>
    <row r="315" spans="1:28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</row>
    <row r="316" spans="1:28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</row>
    <row r="317" spans="1:28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</row>
    <row r="318" spans="1:28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</row>
    <row r="319" spans="1:28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</row>
    <row r="320" spans="1:28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</row>
    <row r="321" spans="1:28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</row>
    <row r="322" spans="1:28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</row>
    <row r="323" spans="1:28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</row>
    <row r="324" spans="1:28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</row>
    <row r="325" spans="1:28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</row>
    <row r="326" spans="1:28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</row>
    <row r="327" spans="1:28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</row>
    <row r="328" spans="1:28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</row>
    <row r="329" spans="1:28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</row>
    <row r="330" spans="1:28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</row>
    <row r="331" spans="1:28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</row>
    <row r="332" spans="1:28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</row>
    <row r="333" spans="1:28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</row>
    <row r="334" spans="1:28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</row>
    <row r="335" spans="1:28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</row>
    <row r="336" spans="1:28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</row>
    <row r="337" spans="1:28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</row>
    <row r="338" spans="1:28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</row>
    <row r="339" spans="1:28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</row>
    <row r="340" spans="1:28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</row>
    <row r="341" spans="1:28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</row>
    <row r="342" spans="1:28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</row>
    <row r="343" spans="1:28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</row>
    <row r="344" spans="1:28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</row>
    <row r="345" spans="1:28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</row>
    <row r="346" spans="1:28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</row>
    <row r="347" spans="1:28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</row>
    <row r="348" spans="1:28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</row>
    <row r="349" spans="1:28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</row>
    <row r="350" spans="1:28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</row>
    <row r="351" spans="1:28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</row>
    <row r="352" spans="1:28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</row>
    <row r="353" spans="1:28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</row>
    <row r="354" spans="1:28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</row>
    <row r="355" spans="1:28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</row>
    <row r="356" spans="1:28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</row>
    <row r="357" spans="1:28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</row>
    <row r="358" spans="1:28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</row>
    <row r="359" spans="1:28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</row>
    <row r="360" spans="1:28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</row>
    <row r="361" spans="1:28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</row>
    <row r="362" spans="1:28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</row>
    <row r="363" spans="1:28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</row>
    <row r="364" spans="1:28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</row>
    <row r="365" spans="1:28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</row>
    <row r="366" spans="1:28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</row>
    <row r="367" spans="1:28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</row>
    <row r="368" spans="1:28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</row>
    <row r="369" spans="1:28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</row>
    <row r="370" spans="1:28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</row>
    <row r="371" spans="1:28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</row>
    <row r="372" spans="1:28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</row>
    <row r="373" spans="1:28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</row>
    <row r="374" spans="1:28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</row>
    <row r="375" spans="1:28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</row>
    <row r="376" spans="1:28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</row>
    <row r="377" spans="1:28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</row>
    <row r="378" spans="1:28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</row>
    <row r="379" spans="1:28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</row>
    <row r="380" spans="1:28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</row>
    <row r="381" spans="1:28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</row>
    <row r="382" spans="1:28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</row>
    <row r="383" spans="1:28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</row>
    <row r="384" spans="1:28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</row>
    <row r="385" spans="1:28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</row>
    <row r="386" spans="1:28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</row>
    <row r="387" spans="1:28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</row>
    <row r="388" spans="1:28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</row>
    <row r="389" spans="1:28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</row>
    <row r="390" spans="1:28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</row>
    <row r="391" spans="1:28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</row>
    <row r="392" spans="1:28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</row>
    <row r="393" spans="1:28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</row>
    <row r="394" spans="1:28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</row>
    <row r="395" spans="1:28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</row>
    <row r="396" spans="1:28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</row>
    <row r="397" spans="1:28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</row>
    <row r="398" spans="1:28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</row>
    <row r="399" spans="1:28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</row>
    <row r="400" spans="1:28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</row>
    <row r="401" spans="1:28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</row>
    <row r="402" spans="1:28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</row>
    <row r="403" spans="1:28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</row>
    <row r="404" spans="1:28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</row>
    <row r="405" spans="1:28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</row>
    <row r="406" spans="1:28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</row>
    <row r="407" spans="1:28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</row>
    <row r="408" spans="1:28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</row>
    <row r="409" spans="1:28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</row>
    <row r="410" spans="1:28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</row>
    <row r="411" spans="1:28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</row>
    <row r="412" spans="1:28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</row>
    <row r="413" spans="1:28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</row>
    <row r="414" spans="1:28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</row>
    <row r="415" spans="1:28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</row>
    <row r="416" spans="1:28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</row>
    <row r="417" spans="1:28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</row>
    <row r="418" spans="1:28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</row>
    <row r="419" spans="1:28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</row>
    <row r="420" spans="1:28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</row>
    <row r="421" spans="1:28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</row>
    <row r="422" spans="1:28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</row>
    <row r="423" spans="1:28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</row>
    <row r="424" spans="1:28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</row>
    <row r="425" spans="1:28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</row>
    <row r="426" spans="1:28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</row>
    <row r="427" spans="1:28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</row>
    <row r="428" spans="1:28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</row>
    <row r="429" spans="1:28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</row>
    <row r="430" spans="1:28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</row>
    <row r="431" spans="1:28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</row>
    <row r="432" spans="1:28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</row>
    <row r="433" spans="1:28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</row>
    <row r="434" spans="1:28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</row>
    <row r="435" spans="1:28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</row>
    <row r="436" spans="1:28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</row>
    <row r="437" spans="1:28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</row>
    <row r="438" spans="1:28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</row>
    <row r="439" spans="1:28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</row>
    <row r="440" spans="1:28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</row>
    <row r="441" spans="1:28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</row>
    <row r="442" spans="1:28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</row>
    <row r="443" spans="1:28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</row>
    <row r="444" spans="1:28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</row>
    <row r="445" spans="1:28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</row>
    <row r="446" spans="1:28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</row>
    <row r="447" spans="1:28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</row>
    <row r="448" spans="1:28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</row>
    <row r="449" spans="1:28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</row>
    <row r="450" spans="1:28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</row>
    <row r="451" spans="1:28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</row>
    <row r="452" spans="1:28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</row>
    <row r="453" spans="1:28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</row>
    <row r="454" spans="1:28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</row>
    <row r="455" spans="1:28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</row>
    <row r="456" spans="1:28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</row>
    <row r="457" spans="1:28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</row>
    <row r="458" spans="1:28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</row>
    <row r="459" spans="1:28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</row>
    <row r="460" spans="1:28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</row>
    <row r="461" spans="1:28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</row>
    <row r="462" spans="1:28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</row>
    <row r="463" spans="1:28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</row>
    <row r="464" spans="1:28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</row>
    <row r="465" spans="1:28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</row>
    <row r="466" spans="1:28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</row>
    <row r="467" spans="1:28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</row>
    <row r="468" spans="1:28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</row>
    <row r="469" spans="1:28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</row>
    <row r="470" spans="1:28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</row>
    <row r="471" spans="1:28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</row>
    <row r="472" spans="1:28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</row>
    <row r="473" spans="1:28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</row>
    <row r="474" spans="1:28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</row>
    <row r="475" spans="1:28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</row>
    <row r="476" spans="1:28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</row>
    <row r="477" spans="1:28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</row>
    <row r="478" spans="1:28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</row>
    <row r="479" spans="1:28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</row>
    <row r="480" spans="1:28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</row>
    <row r="481" spans="1:28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</row>
    <row r="482" spans="1:28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</row>
    <row r="483" spans="1:28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</row>
    <row r="484" spans="1:28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</row>
    <row r="485" spans="1:28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</row>
    <row r="486" spans="1:28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</row>
    <row r="487" spans="1:28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</row>
    <row r="488" spans="1:28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</row>
    <row r="489" spans="1:28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</row>
    <row r="490" spans="1:28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</row>
    <row r="491" spans="1:28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</row>
    <row r="492" spans="1:28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</row>
    <row r="493" spans="1:28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</row>
    <row r="494" spans="1:28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</row>
    <row r="495" spans="1:28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</row>
    <row r="496" spans="1:28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</row>
    <row r="497" spans="1:28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</row>
    <row r="498" spans="1:28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</row>
    <row r="499" spans="1:28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</row>
    <row r="500" spans="1:28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</row>
    <row r="501" spans="1:28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</row>
    <row r="502" spans="1:28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</row>
    <row r="503" spans="1:28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</row>
    <row r="504" spans="1:28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</row>
    <row r="505" spans="1:28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</row>
    <row r="506" spans="1:28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</row>
    <row r="507" spans="1:28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</row>
    <row r="508" spans="1:28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</row>
    <row r="509" spans="1:28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</row>
    <row r="510" spans="1:28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</row>
    <row r="511" spans="1:28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</row>
    <row r="512" spans="1:28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</row>
    <row r="513" spans="1:28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</row>
    <row r="514" spans="1:28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</row>
    <row r="515" spans="1:28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</row>
    <row r="516" spans="1:28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</row>
    <row r="517" spans="1:28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</row>
    <row r="518" spans="1:28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</row>
    <row r="519" spans="1:28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</row>
    <row r="520" spans="1:28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</row>
    <row r="521" spans="1:28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</row>
    <row r="522" spans="1:28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</row>
    <row r="523" spans="1:28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</row>
    <row r="524" spans="1:28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</row>
    <row r="525" spans="1:28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</row>
    <row r="526" spans="1:28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</row>
    <row r="527" spans="1:28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</row>
    <row r="528" spans="1:28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</row>
    <row r="529" spans="1:28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</row>
    <row r="530" spans="1:28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</row>
    <row r="531" spans="1:28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</row>
    <row r="532" spans="1:28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</row>
    <row r="533" spans="1:28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</row>
    <row r="534" spans="1:28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</row>
    <row r="535" spans="1:28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</row>
    <row r="536" spans="1:28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</row>
    <row r="537" spans="1:28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</row>
    <row r="538" spans="1:28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</row>
    <row r="539" spans="1:28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</row>
    <row r="540" spans="1:28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</row>
    <row r="541" spans="1:28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</row>
    <row r="542" spans="1:28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</row>
    <row r="543" spans="1:28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</row>
    <row r="544" spans="1:28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</row>
    <row r="545" spans="1:28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</row>
    <row r="546" spans="1:28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</row>
    <row r="547" spans="1:28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</row>
    <row r="548" spans="1:28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</row>
    <row r="549" spans="1:28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</row>
    <row r="550" spans="1:28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</row>
    <row r="551" spans="1:28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</row>
    <row r="552" spans="1:28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</row>
    <row r="553" spans="1:28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</row>
    <row r="554" spans="1:28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</row>
    <row r="555" spans="1:28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</row>
    <row r="556" spans="1:28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</row>
    <row r="557" spans="1:28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</row>
    <row r="558" spans="1:28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</row>
    <row r="559" spans="1:28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</row>
    <row r="560" spans="1:28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</row>
    <row r="561" spans="1:28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</row>
    <row r="562" spans="1:28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</row>
    <row r="563" spans="1:28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</row>
    <row r="564" spans="1:28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</row>
    <row r="565" spans="1:28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</row>
    <row r="566" spans="1:28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</row>
    <row r="567" spans="1:28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</row>
    <row r="568" spans="1:28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</row>
    <row r="569" spans="1:28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</row>
    <row r="570" spans="1:28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</row>
    <row r="571" spans="1:28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</row>
    <row r="572" spans="1:28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</row>
    <row r="573" spans="1:28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</row>
    <row r="574" spans="1:28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</row>
    <row r="575" spans="1:28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</row>
    <row r="576" spans="1:28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</row>
    <row r="577" spans="1:28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</row>
    <row r="578" spans="1:28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</row>
    <row r="579" spans="1:28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</row>
    <row r="580" spans="1:28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</row>
    <row r="581" spans="1:28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</row>
    <row r="582" spans="1:28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</row>
    <row r="583" spans="1:28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</row>
    <row r="584" spans="1:28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</row>
    <row r="585" spans="1:28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</row>
    <row r="586" spans="1:28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</row>
    <row r="587" spans="1:28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</row>
    <row r="588" spans="1:28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</row>
    <row r="589" spans="1:28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</row>
    <row r="590" spans="1:28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</row>
    <row r="591" spans="1:28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</row>
    <row r="592" spans="1:28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</row>
    <row r="593" spans="1:28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</row>
    <row r="594" spans="1:28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</row>
    <row r="595" spans="1:28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</row>
    <row r="596" spans="1:28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</row>
    <row r="597" spans="1:28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</row>
    <row r="598" spans="1:28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</row>
    <row r="599" spans="1:28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</row>
    <row r="600" spans="1:28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</row>
    <row r="601" spans="1:28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</row>
    <row r="602" spans="1:28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</row>
    <row r="603" spans="1:28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</row>
    <row r="604" spans="1:28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</row>
    <row r="605" spans="1:28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</row>
    <row r="606" spans="1:28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</row>
    <row r="607" spans="1:28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</row>
    <row r="608" spans="1:28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</row>
    <row r="609" spans="1:28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</row>
    <row r="610" spans="1:28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</row>
    <row r="611" spans="1:28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</row>
    <row r="612" spans="1:28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</row>
    <row r="613" spans="1:28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</row>
    <row r="614" spans="1:28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</row>
    <row r="615" spans="1:28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</row>
    <row r="616" spans="1:28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</row>
    <row r="617" spans="1:28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</row>
    <row r="618" spans="1:28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</row>
    <row r="619" spans="1:28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</row>
    <row r="620" spans="1:28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</row>
    <row r="621" spans="1:28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</row>
    <row r="622" spans="1:28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</row>
    <row r="623" spans="1:28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</row>
    <row r="624" spans="1:28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</row>
    <row r="625" spans="1:28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</row>
    <row r="626" spans="1:28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</row>
    <row r="627" spans="1:28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</row>
    <row r="628" spans="1:28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</row>
    <row r="629" spans="1:28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</row>
    <row r="630" spans="1:28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</row>
    <row r="631" spans="1:28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</row>
    <row r="632" spans="1:28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</row>
    <row r="633" spans="1:28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</row>
    <row r="634" spans="1:28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</row>
    <row r="635" spans="1:28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</row>
    <row r="636" spans="1:28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</row>
    <row r="637" spans="1:28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</row>
    <row r="638" spans="1:28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</row>
    <row r="639" spans="1:28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</row>
    <row r="640" spans="1:28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</row>
    <row r="641" spans="1:28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</row>
    <row r="642" spans="1:28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</row>
    <row r="643" spans="1:28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</row>
    <row r="644" spans="1:28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</row>
    <row r="645" spans="1:28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</row>
    <row r="646" spans="1:28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</row>
    <row r="647" spans="1:28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</row>
    <row r="648" spans="1:28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</row>
    <row r="649" spans="1:28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</row>
    <row r="650" spans="1:28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</row>
    <row r="651" spans="1:28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</row>
    <row r="652" spans="1:28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</row>
    <row r="653" spans="1:28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</row>
    <row r="654" spans="1:28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</row>
    <row r="655" spans="1:28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</row>
    <row r="656" spans="1:28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</row>
    <row r="657" spans="1:28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</row>
    <row r="658" spans="1:28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</row>
    <row r="659" spans="1:28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</row>
    <row r="660" spans="1:28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</row>
    <row r="661" spans="1:28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</row>
    <row r="662" spans="1:28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</row>
    <row r="663" spans="1:28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</row>
    <row r="664" spans="1:28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</row>
    <row r="665" spans="1:28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</row>
    <row r="666" spans="1:28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</row>
    <row r="667" spans="1:28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</row>
    <row r="668" spans="1:28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</row>
    <row r="669" spans="1:28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</row>
    <row r="670" spans="1:28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</row>
    <row r="671" spans="1:28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</row>
    <row r="672" spans="1:28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</row>
    <row r="673" spans="1:28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</row>
    <row r="674" spans="1:28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</row>
    <row r="675" spans="1:28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</row>
    <row r="676" spans="1:28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</row>
    <row r="677" spans="1:28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</row>
    <row r="678" spans="1:28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</row>
    <row r="679" spans="1:28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</row>
    <row r="680" spans="1:28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</row>
    <row r="681" spans="1:28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</row>
    <row r="682" spans="1:28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</row>
    <row r="683" spans="1:28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</row>
    <row r="684" spans="1:28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</row>
    <row r="685" spans="1:28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</row>
    <row r="686" spans="1:28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</row>
    <row r="687" spans="1:28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</row>
    <row r="688" spans="1:28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</row>
    <row r="689" spans="1:28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</row>
    <row r="690" spans="1:28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</row>
    <row r="691" spans="1:28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</row>
    <row r="692" spans="1:28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</row>
    <row r="693" spans="1:28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</row>
    <row r="694" spans="1:28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</row>
    <row r="695" spans="1:28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</row>
    <row r="696" spans="1:28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</row>
    <row r="697" spans="1:28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</row>
    <row r="698" spans="1:28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</row>
    <row r="699" spans="1:28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</row>
    <row r="700" spans="1:28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</row>
    <row r="701" spans="1:28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</row>
    <row r="702" spans="1:28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</row>
    <row r="703" spans="1:28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</row>
    <row r="704" spans="1:28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</row>
    <row r="705" spans="1:28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</row>
    <row r="706" spans="1:28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</row>
    <row r="707" spans="1:28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</row>
    <row r="708" spans="1:28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</row>
    <row r="709" spans="1:28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</row>
    <row r="710" spans="1:28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</row>
    <row r="711" spans="1:28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</row>
    <row r="712" spans="1:28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</row>
    <row r="713" spans="1:28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</row>
    <row r="714" spans="1:28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</row>
    <row r="715" spans="1:28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</row>
    <row r="716" spans="1:28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</row>
    <row r="717" spans="1:28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</row>
    <row r="718" spans="1:28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</row>
    <row r="719" spans="1:28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</row>
    <row r="720" spans="1:28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</row>
    <row r="721" spans="1:28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</row>
    <row r="722" spans="1:28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</row>
    <row r="723" spans="1:28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</row>
    <row r="724" spans="1:28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</row>
    <row r="725" spans="1:28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</row>
    <row r="726" spans="1:28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</row>
    <row r="727" spans="1:28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</row>
    <row r="728" spans="1:28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</row>
    <row r="729" spans="1:28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</row>
    <row r="730" spans="1:28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</row>
    <row r="731" spans="1:28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</row>
    <row r="732" spans="1:28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</row>
    <row r="733" spans="1:28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</row>
    <row r="734" spans="1:28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</row>
    <row r="735" spans="1:28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</row>
    <row r="736" spans="1:28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</row>
    <row r="737" spans="1:28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</row>
    <row r="738" spans="1:28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</row>
    <row r="739" spans="1:28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</row>
    <row r="740" spans="1:28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</row>
    <row r="741" spans="1:28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</row>
    <row r="742" spans="1:28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</row>
    <row r="743" spans="1:28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</row>
    <row r="744" spans="1:28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</row>
    <row r="745" spans="1:28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</row>
    <row r="746" spans="1:28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</row>
    <row r="747" spans="1:28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</row>
    <row r="748" spans="1:28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</row>
    <row r="749" spans="1:28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</row>
    <row r="750" spans="1:28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</row>
    <row r="751" spans="1:28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</row>
    <row r="752" spans="1:28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</row>
    <row r="753" spans="1:28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</row>
    <row r="754" spans="1:28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</row>
    <row r="755" spans="1:28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</row>
    <row r="756" spans="1:28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</row>
    <row r="757" spans="1:28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</row>
    <row r="758" spans="1:28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</row>
    <row r="759" spans="1:28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</row>
    <row r="760" spans="1:28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</row>
    <row r="761" spans="1:28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</row>
    <row r="762" spans="1:28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</row>
    <row r="763" spans="1:28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</row>
    <row r="764" spans="1:28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</row>
    <row r="765" spans="1:28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</row>
    <row r="766" spans="1:28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</row>
    <row r="767" spans="1:28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</row>
    <row r="768" spans="1:28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</row>
    <row r="769" spans="1:28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</row>
    <row r="770" spans="1:28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</row>
    <row r="771" spans="1:28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</row>
    <row r="772" spans="1:28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</row>
    <row r="773" spans="1:28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</row>
    <row r="774" spans="1:28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</row>
    <row r="775" spans="1:28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</row>
    <row r="776" spans="1:28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</row>
    <row r="777" spans="1:28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</row>
    <row r="778" spans="1:28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</row>
    <row r="779" spans="1:28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</row>
    <row r="780" spans="1:28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</row>
    <row r="781" spans="1:28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</row>
    <row r="782" spans="1:28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</row>
    <row r="783" spans="1:28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</row>
    <row r="784" spans="1:28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</row>
    <row r="785" spans="1:28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</row>
    <row r="786" spans="1:28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</row>
    <row r="787" spans="1:28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</row>
    <row r="788" spans="1:28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</row>
    <row r="789" spans="1:28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</row>
    <row r="790" spans="1:28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</row>
    <row r="791" spans="1:28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</row>
    <row r="792" spans="1:28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</row>
    <row r="793" spans="1:28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</row>
    <row r="794" spans="1:28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</row>
    <row r="795" spans="1:28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</row>
    <row r="796" spans="1:28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</row>
    <row r="797" spans="1:28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</row>
    <row r="798" spans="1:28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</row>
    <row r="799" spans="1:28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</row>
    <row r="800" spans="1:28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</row>
    <row r="801" spans="1:28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</row>
    <row r="802" spans="1:28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</row>
    <row r="803" spans="1:28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</row>
    <row r="804" spans="1:28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</row>
    <row r="805" spans="1:28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</row>
    <row r="806" spans="1:28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</row>
    <row r="807" spans="1:28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</row>
    <row r="808" spans="1:28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</row>
    <row r="809" spans="1:28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</row>
    <row r="810" spans="1:28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</row>
    <row r="811" spans="1:28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</row>
    <row r="812" spans="1:28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</row>
    <row r="813" spans="1:28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</row>
    <row r="814" spans="1:28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</row>
    <row r="815" spans="1:28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</row>
    <row r="816" spans="1:28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</row>
    <row r="817" spans="1:28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</row>
    <row r="818" spans="1:28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</row>
    <row r="819" spans="1:28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</row>
    <row r="820" spans="1:28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</row>
    <row r="821" spans="1:28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</row>
    <row r="822" spans="1:28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</row>
    <row r="823" spans="1:28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</row>
    <row r="824" spans="1:28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</row>
    <row r="825" spans="1:28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</row>
    <row r="826" spans="1:28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</row>
    <row r="827" spans="1:28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</row>
    <row r="828" spans="1:28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</row>
    <row r="829" spans="1:28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</row>
    <row r="830" spans="1:28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</row>
    <row r="831" spans="1:28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</row>
    <row r="832" spans="1:28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</row>
    <row r="833" spans="1:28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</row>
    <row r="834" spans="1:28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</row>
    <row r="835" spans="1:28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</row>
    <row r="836" spans="1:28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</row>
    <row r="837" spans="1:28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</row>
    <row r="838" spans="1:28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</row>
    <row r="839" spans="1:28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</row>
    <row r="840" spans="1:28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</row>
    <row r="841" spans="1:28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</row>
    <row r="842" spans="1:28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</row>
    <row r="843" spans="1:28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</row>
    <row r="844" spans="1:28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</row>
    <row r="845" spans="1:28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</row>
    <row r="846" spans="1:28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</row>
    <row r="847" spans="1:28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</row>
    <row r="848" spans="1:28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</row>
    <row r="849" spans="1:28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</row>
    <row r="850" spans="1:28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</row>
    <row r="851" spans="1:28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</row>
    <row r="852" spans="1:28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</row>
    <row r="853" spans="1:28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</row>
    <row r="854" spans="1:28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</row>
    <row r="855" spans="1:28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</row>
    <row r="856" spans="1:28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</row>
    <row r="857" spans="1:28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</row>
    <row r="858" spans="1:28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</row>
    <row r="859" spans="1:28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</row>
    <row r="860" spans="1:28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</row>
    <row r="861" spans="1:28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</row>
    <row r="862" spans="1:28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</row>
    <row r="863" spans="1:28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</row>
    <row r="864" spans="1:28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</row>
    <row r="865" spans="1:28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</row>
    <row r="866" spans="1:28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</row>
    <row r="867" spans="1:28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</row>
    <row r="868" spans="1:28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</row>
    <row r="869" spans="1:28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</row>
    <row r="870" spans="1:28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</row>
    <row r="871" spans="1:28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</row>
    <row r="872" spans="1:28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</row>
    <row r="873" spans="1:28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</row>
    <row r="874" spans="1:28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</row>
    <row r="875" spans="1:28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</row>
    <row r="876" spans="1:28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</row>
    <row r="877" spans="1:28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</row>
    <row r="878" spans="1:28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</row>
    <row r="879" spans="1:28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</row>
    <row r="880" spans="1:28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</row>
    <row r="881" spans="1:28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</row>
    <row r="882" spans="1:28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</row>
    <row r="883" spans="1:28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</row>
    <row r="884" spans="1:28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</row>
    <row r="885" spans="1:28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</row>
    <row r="886" spans="1:28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</row>
    <row r="887" spans="1:28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</row>
    <row r="888" spans="1:28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</row>
    <row r="889" spans="1:28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</row>
    <row r="890" spans="1:28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</row>
    <row r="891" spans="1:28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</row>
    <row r="892" spans="1:28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</row>
    <row r="893" spans="1:28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</row>
    <row r="894" spans="1:28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</row>
    <row r="895" spans="1:28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</row>
    <row r="896" spans="1:28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</row>
    <row r="897" spans="1:28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</row>
    <row r="898" spans="1:28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</row>
    <row r="899" spans="1:28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</row>
    <row r="900" spans="1:28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</row>
    <row r="901" spans="1:28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</row>
    <row r="902" spans="1:28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</row>
    <row r="903" spans="1:28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</row>
    <row r="904" spans="1:28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</row>
    <row r="905" spans="1:28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</row>
    <row r="906" spans="1:28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</row>
    <row r="907" spans="1:28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</row>
    <row r="908" spans="1:28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</row>
    <row r="909" spans="1:28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</row>
    <row r="910" spans="1:28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</row>
    <row r="911" spans="1:28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</row>
    <row r="912" spans="1:28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</row>
    <row r="913" spans="1:28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</row>
    <row r="914" spans="1:28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</row>
    <row r="915" spans="1:28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</row>
    <row r="916" spans="1:28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</row>
    <row r="917" spans="1:28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</row>
    <row r="918" spans="1:28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</row>
    <row r="919" spans="1:28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</row>
    <row r="920" spans="1:28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</row>
    <row r="921" spans="1:28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</row>
    <row r="922" spans="1:28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</row>
    <row r="923" spans="1:28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</row>
    <row r="924" spans="1:28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</row>
    <row r="925" spans="1:28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</row>
    <row r="926" spans="1:28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</row>
    <row r="927" spans="1:28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</row>
    <row r="928" spans="1:28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</row>
    <row r="929" spans="1:28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</row>
    <row r="930" spans="1:28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</row>
    <row r="931" spans="1:28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</row>
    <row r="932" spans="1:28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</row>
    <row r="933" spans="1:28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</row>
    <row r="934" spans="1:28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</row>
    <row r="935" spans="1:28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</row>
    <row r="936" spans="1:28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</row>
    <row r="937" spans="1:28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</row>
    <row r="938" spans="1:28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</row>
    <row r="939" spans="1:28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</row>
    <row r="940" spans="1:28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</row>
    <row r="941" spans="1:28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</row>
    <row r="942" spans="1:28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</row>
    <row r="943" spans="1:28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</row>
    <row r="944" spans="1:28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</row>
    <row r="945" spans="1:28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</row>
    <row r="946" spans="1:28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</row>
    <row r="947" spans="1:28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</row>
    <row r="948" spans="1:28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</row>
    <row r="949" spans="1:28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</row>
    <row r="950" spans="1:28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</row>
    <row r="951" spans="1:28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</row>
    <row r="952" spans="1:28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</row>
    <row r="953" spans="1:28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</row>
    <row r="954" spans="1:28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</row>
    <row r="955" spans="1:28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</row>
    <row r="956" spans="1:28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</row>
    <row r="957" spans="1:28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</row>
    <row r="958" spans="1:28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</row>
    <row r="959" spans="1:28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</row>
    <row r="960" spans="1:28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</row>
    <row r="961" spans="1:28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</row>
    <row r="962" spans="1:28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</row>
    <row r="963" spans="1:28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</row>
    <row r="964" spans="1:28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</row>
    <row r="965" spans="1:28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</row>
    <row r="966" spans="1:28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</row>
    <row r="967" spans="1:28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</row>
    <row r="968" spans="1:28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</row>
    <row r="969" spans="1:28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</row>
    <row r="970" spans="1:28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</row>
    <row r="971" spans="1:28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</row>
    <row r="972" spans="1:28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</row>
    <row r="973" spans="1:28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</row>
    <row r="974" spans="1:28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</row>
    <row r="975" spans="1:28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</row>
    <row r="976" spans="1:28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</row>
    <row r="977" spans="1:28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</row>
    <row r="978" spans="1:28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</row>
    <row r="979" spans="1:28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</row>
    <row r="980" spans="1:28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</row>
    <row r="981" spans="1:28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</row>
    <row r="982" spans="1:28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</row>
    <row r="983" spans="1:28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</row>
    <row r="984" spans="1:28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</row>
    <row r="985" spans="1:28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</row>
    <row r="986" spans="1:28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</row>
    <row r="987" spans="1:28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</row>
    <row r="988" spans="1:28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</row>
    <row r="989" spans="1:28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</row>
    <row r="990" spans="1:28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</row>
    <row r="991" spans="1:28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</row>
    <row r="992" spans="1:28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</row>
    <row r="993" spans="1:28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</row>
    <row r="994" spans="1:28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</row>
    <row r="995" spans="1:28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</row>
    <row r="996" spans="1:28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</row>
    <row r="997" spans="1:28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</row>
    <row r="998" spans="1:28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</row>
    <row r="999" spans="1:28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</row>
    <row r="1000" spans="1:28" x14ac:dyDescent="0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</row>
    <row r="1001" spans="1:28" x14ac:dyDescent="0.25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</row>
    <row r="1002" spans="1:28" x14ac:dyDescent="0.25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</row>
    <row r="1003" spans="1:28" x14ac:dyDescent="0.25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</row>
    <row r="1004" spans="1:28" x14ac:dyDescent="0.25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</row>
    <row r="1005" spans="1:28" x14ac:dyDescent="0.2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</row>
  </sheetData>
  <mergeCells count="3">
    <mergeCell ref="E1:F1"/>
    <mergeCell ref="G1:H1"/>
    <mergeCell ref="I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Adhami, Mumin</cp:lastModifiedBy>
  <dcterms:modified xsi:type="dcterms:W3CDTF">2026-08-28T16:45:28Z</dcterms:modified>
</cp:coreProperties>
</file>